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roject with Didier, Sue and Asha\Raw data_OziePHD\"/>
    </mc:Choice>
  </mc:AlternateContent>
  <bookViews>
    <workbookView xWindow="240" yWindow="180" windowWidth="8595" windowHeight="6915"/>
  </bookViews>
  <sheets>
    <sheet name="characters" sheetId="1" r:id="rId1"/>
    <sheet name="Sheet2-Ozie" sheetId="2" r:id="rId2"/>
  </sheets>
  <calcPr calcId="152511"/>
</workbook>
</file>

<file path=xl/calcChain.xml><?xml version="1.0" encoding="utf-8"?>
<calcChain xmlns="http://schemas.openxmlformats.org/spreadsheetml/2006/main">
  <c r="F42" i="2" l="1"/>
  <c r="D44" i="2"/>
  <c r="E44" i="2"/>
  <c r="F44" i="2"/>
  <c r="D45" i="2"/>
  <c r="E45" i="2"/>
  <c r="F45" i="2"/>
  <c r="D46" i="2"/>
  <c r="E46" i="2"/>
  <c r="F46" i="2"/>
  <c r="C46" i="2"/>
  <c r="C45" i="2"/>
  <c r="C44" i="2"/>
  <c r="D43" i="2"/>
  <c r="E43" i="2"/>
  <c r="F43" i="2"/>
  <c r="C43" i="2"/>
  <c r="D42" i="2"/>
  <c r="E42" i="2"/>
  <c r="C42" i="2"/>
</calcChain>
</file>

<file path=xl/sharedStrings.xml><?xml version="1.0" encoding="utf-8"?>
<sst xmlns="http://schemas.openxmlformats.org/spreadsheetml/2006/main" count="195" uniqueCount="138">
  <si>
    <t>Characteristics of different BG landraces</t>
  </si>
  <si>
    <t>landrace</t>
  </si>
  <si>
    <t xml:space="preserve">source </t>
  </si>
  <si>
    <t>remarks</t>
  </si>
  <si>
    <t>Burkina</t>
  </si>
  <si>
    <t>early maturity</t>
  </si>
  <si>
    <t>drought tolerant</t>
  </si>
  <si>
    <t>Tan One</t>
  </si>
  <si>
    <t>Tan Two</t>
  </si>
  <si>
    <t>Blackeye</t>
  </si>
  <si>
    <t>photoperiod sensitive</t>
  </si>
  <si>
    <t>Ankpa (Nigeria)</t>
  </si>
  <si>
    <t>Linnemann 1993</t>
  </si>
  <si>
    <t>Zebra coloured</t>
  </si>
  <si>
    <t>Mottled Cream</t>
  </si>
  <si>
    <t>putative character</t>
  </si>
  <si>
    <t>photoperiod  less ensitive</t>
  </si>
  <si>
    <t>Zebra Coloured</t>
  </si>
  <si>
    <t>Berchie's phd thesis</t>
  </si>
  <si>
    <t>"</t>
  </si>
  <si>
    <t>BS599</t>
  </si>
  <si>
    <t>BS537</t>
  </si>
  <si>
    <t>V2-17</t>
  </si>
  <si>
    <t>BS520</t>
  </si>
  <si>
    <t>Variety-10</t>
  </si>
  <si>
    <t>among 20 'varieites', 16 improved &amp; 4 landraces (Ndebvu, Misodzi, Chipofu &amp; Mbare)</t>
  </si>
  <si>
    <t>Makanda et al 2009</t>
  </si>
  <si>
    <t>Berchie et al 2012</t>
  </si>
  <si>
    <t>Berchie et al 2010</t>
  </si>
  <si>
    <t>Mwale et al 2007</t>
  </si>
  <si>
    <t>S19-3 (Namibia)</t>
  </si>
  <si>
    <t>* Karunaratne et al 2011 used this info for her modeling study</t>
  </si>
  <si>
    <t>bunch type</t>
  </si>
  <si>
    <t>vs spreading type from farmer</t>
  </si>
  <si>
    <t>(collection from Uni of Abobo-Adjame)</t>
  </si>
  <si>
    <t>Kouassi &amp; Zorobi 2011</t>
  </si>
  <si>
    <t>Uniswa Red</t>
  </si>
  <si>
    <t>as compared to, S19-3, LunT and Ramayana, in terms of seed number and seed yield</t>
  </si>
  <si>
    <t>* S19-3: drought escape</t>
  </si>
  <si>
    <t>Jorgensen et al 2010 &amp; 2011</t>
  </si>
  <si>
    <t>DipC (Botswana)</t>
  </si>
  <si>
    <t>Jorgensen et al 2009</t>
  </si>
  <si>
    <t>TZA-1505 followed by Tiga Nicuru</t>
  </si>
  <si>
    <t>as compared to Tiga Nicru (Mali) &amp; TZA-1505</t>
  </si>
  <si>
    <t>DipC = AS-17 &gt; Swazi Red &gt; LunT</t>
  </si>
  <si>
    <t>summarised by Florian</t>
  </si>
  <si>
    <t>his study used DipC vs LunT as both have similar maturity duration (120-140 DAS)</t>
  </si>
  <si>
    <t xml:space="preserve">high yield </t>
  </si>
  <si>
    <t>* during offseason</t>
  </si>
  <si>
    <t>DAF</t>
  </si>
  <si>
    <t>3Acc9NGA</t>
  </si>
  <si>
    <t>4Acc144NGA</t>
  </si>
  <si>
    <t>6Acc289BEN</t>
  </si>
  <si>
    <t>10Acc1276CAF</t>
  </si>
  <si>
    <t>20Acc118BFA</t>
  </si>
  <si>
    <t>30Acc476CMR</t>
  </si>
  <si>
    <t>33Acc484CMR</t>
  </si>
  <si>
    <t>40Acc563CMR</t>
  </si>
  <si>
    <t>45Acc231GHA</t>
  </si>
  <si>
    <t>48Acc790KEN</t>
  </si>
  <si>
    <t>49Acc793KEN</t>
  </si>
  <si>
    <t>50Acc792ZWE</t>
  </si>
  <si>
    <t>56Acc89MLI</t>
  </si>
  <si>
    <t>60Acc32NGA</t>
  </si>
  <si>
    <t>69Acc286NGA</t>
  </si>
  <si>
    <t>70Acc329NGA</t>
  </si>
  <si>
    <t>74Acc335NGA</t>
  </si>
  <si>
    <t>76Acc390SDN</t>
  </si>
  <si>
    <t>81Acc385TZA</t>
  </si>
  <si>
    <t>84Acc696ZMB</t>
  </si>
  <si>
    <t>85Acc754ZMB</t>
  </si>
  <si>
    <t>88-AHM753NAM</t>
  </si>
  <si>
    <t>90-S19-3NAM</t>
  </si>
  <si>
    <t>91-UNISRSWA</t>
  </si>
  <si>
    <t>92-AHM968NAM</t>
  </si>
  <si>
    <t>95-DODRTZA</t>
  </si>
  <si>
    <t>99-SB4-2NAM</t>
  </si>
  <si>
    <t>100-SB16ANAM</t>
  </si>
  <si>
    <t>104-S-1913NAM</t>
  </si>
  <si>
    <t>109-BOTS1</t>
  </si>
  <si>
    <t>113-BOTS5</t>
  </si>
  <si>
    <t>117-VSSP6CMR</t>
  </si>
  <si>
    <t>118-Ramayana-IND</t>
  </si>
  <si>
    <t>119-Hybrid</t>
  </si>
  <si>
    <t>DAM</t>
  </si>
  <si>
    <t>field (Botswana)</t>
  </si>
  <si>
    <t>CE (UK)</t>
  </si>
  <si>
    <t>mean</t>
  </si>
  <si>
    <t>median</t>
  </si>
  <si>
    <t>mode</t>
  </si>
  <si>
    <t>min</t>
  </si>
  <si>
    <t>max</t>
  </si>
  <si>
    <t>Mean values for the characters of the landraces grown in the agronomy bay experiment (UK) &amp; in the field experiment (Botswana)</t>
  </si>
  <si>
    <t>&lt;median value</t>
  </si>
  <si>
    <t xml:space="preserve">early maturity = early flowering?? </t>
  </si>
  <si>
    <t>DAF = days to 50% flowering</t>
  </si>
  <si>
    <t>DAM = days to maturity</t>
  </si>
  <si>
    <t xml:space="preserve">DAM &lt; median value at both CE and field </t>
  </si>
  <si>
    <t>= early maturity landraces???</t>
  </si>
  <si>
    <t>remark: S19  known to be early maturity landrace from other studies</t>
  </si>
  <si>
    <t>Ozie's phd thesis</t>
  </si>
  <si>
    <t>analysis at Sheet 2</t>
  </si>
  <si>
    <t>compared with UN &amp; DipC</t>
  </si>
  <si>
    <t>compared among Blackeye, Nav4, NavRed and Tom</t>
  </si>
  <si>
    <t>comparatively, Burkina is considered as medium in terms of maturity</t>
  </si>
  <si>
    <t>*: early maturing cowpea tend to be sensitive to mid-season drought (Thiaw et al 1993)</t>
  </si>
  <si>
    <t>leaf area</t>
  </si>
  <si>
    <t>shoot dry weight</t>
  </si>
  <si>
    <t>seed number per plant</t>
  </si>
  <si>
    <t>pod number per plant</t>
  </si>
  <si>
    <t>UK</t>
  </si>
  <si>
    <t>Botswana-field</t>
  </si>
  <si>
    <t>48-Acc790KEN</t>
  </si>
  <si>
    <t>85-Acc754ZMB</t>
  </si>
  <si>
    <t>91-UNISR-SWA</t>
  </si>
  <si>
    <t>118-RamayanaIND</t>
  </si>
  <si>
    <t>105-MHNblackNAM</t>
  </si>
  <si>
    <t>105-Mahenene blackNAM</t>
  </si>
  <si>
    <t>76-Acc390SUDAN</t>
  </si>
  <si>
    <t>100SB16ANAM</t>
  </si>
  <si>
    <t>Acc3348CMR</t>
  </si>
  <si>
    <t>summary:</t>
  </si>
  <si>
    <t>assuming</t>
  </si>
  <si>
    <t>85-Acc754ZMB &amp; 88-AHM753NAM : potential good landraces</t>
  </si>
  <si>
    <t>(as both perform well in both CE and field,probably less E effect &amp; good h2)</t>
  </si>
  <si>
    <t>90-S19-3NAM : early maturity + good yield in field</t>
  </si>
  <si>
    <t>84-Acc696ZMB : early maturity + good yield</t>
  </si>
  <si>
    <t>81-Acc385TZA</t>
  </si>
  <si>
    <t>pure lines??</t>
  </si>
  <si>
    <t>56Acc89MLI: early maturity</t>
  </si>
  <si>
    <t>60Acc32NGA: early maturity</t>
  </si>
  <si>
    <t xml:space="preserve"> </t>
  </si>
  <si>
    <t>worst</t>
  </si>
  <si>
    <t>SI for yield:</t>
  </si>
  <si>
    <t>best</t>
  </si>
  <si>
    <t>CE</t>
  </si>
  <si>
    <r>
      <t xml:space="preserve">84-Acc </t>
    </r>
    <r>
      <rPr>
        <sz val="10"/>
        <color rgb="FFFF0000"/>
        <rFont val="Calibri"/>
        <family val="2"/>
        <scheme val="minor"/>
      </rPr>
      <t>696ZMB</t>
    </r>
  </si>
  <si>
    <r>
      <t>84Acc</t>
    </r>
    <r>
      <rPr>
        <sz val="10"/>
        <color rgb="FFFF0000"/>
        <rFont val="Calibri"/>
        <family val="2"/>
        <scheme val="minor"/>
      </rPr>
      <t>696ZMB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</si>
</sst>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F0"/>
      <name val="Calibri"/>
      <family val="2"/>
      <scheme val="minor"/>
    </font>
    <font>
      <sz val="10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 applyFill="1"/>
    <xf numFmtId="0" fontId="5" fillId="3" borderId="0" xfId="0" applyFont="1" applyFill="1"/>
    <xf numFmtId="0" fontId="2" fillId="0" borderId="0" xfId="0" quotePrefix="1" applyFont="1"/>
    <xf numFmtId="0" fontId="2" fillId="0" borderId="0" xfId="0" quotePrefix="1" applyFont="1" applyFill="1"/>
    <xf numFmtId="0" fontId="5" fillId="0" borderId="0" xfId="0" applyFont="1"/>
    <xf numFmtId="0" fontId="2" fillId="4" borderId="0" xfId="0" applyFont="1" applyFill="1"/>
    <xf numFmtId="0" fontId="5" fillId="4" borderId="0" xfId="0" applyFont="1" applyFill="1"/>
    <xf numFmtId="0" fontId="6" fillId="0" borderId="0" xfId="0" applyFont="1"/>
    <xf numFmtId="0" fontId="6" fillId="4" borderId="0" xfId="0" applyFont="1" applyFill="1"/>
    <xf numFmtId="0" fontId="6" fillId="0" borderId="1" xfId="0" applyFont="1" applyBorder="1"/>
    <xf numFmtId="0" fontId="2" fillId="4" borderId="1" xfId="0" applyFont="1" applyFill="1" applyBorder="1"/>
    <xf numFmtId="0" fontId="7" fillId="0" borderId="0" xfId="0" applyFont="1"/>
    <xf numFmtId="1" fontId="2" fillId="0" borderId="0" xfId="0" applyNumberFormat="1" applyFont="1"/>
    <xf numFmtId="1" fontId="2" fillId="0" borderId="0" xfId="0" applyNumberFormat="1" applyFon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topLeftCell="A13" workbookViewId="0">
      <selection activeCell="A23" sqref="A23"/>
    </sheetView>
  </sheetViews>
  <sheetFormatPr defaultRowHeight="12.75" x14ac:dyDescent="0.2"/>
  <cols>
    <col min="1" max="1" width="20" style="2" customWidth="1"/>
    <col min="2" max="3" width="9.140625" style="2"/>
    <col min="4" max="4" width="23.42578125" style="2" customWidth="1"/>
    <col min="5" max="5" width="17.42578125" style="2" customWidth="1"/>
    <col min="6" max="16384" width="9.140625" style="2"/>
  </cols>
  <sheetData>
    <row r="1" spans="1:7" x14ac:dyDescent="0.2">
      <c r="A1" s="1" t="s">
        <v>0</v>
      </c>
    </row>
    <row r="2" spans="1:7" x14ac:dyDescent="0.2">
      <c r="A2" s="3" t="s">
        <v>105</v>
      </c>
    </row>
    <row r="4" spans="1:7" x14ac:dyDescent="0.2">
      <c r="A4" s="4" t="s">
        <v>15</v>
      </c>
      <c r="C4" s="4" t="s">
        <v>1</v>
      </c>
      <c r="E4" s="4" t="s">
        <v>2</v>
      </c>
      <c r="G4" s="4" t="s">
        <v>3</v>
      </c>
    </row>
    <row r="5" spans="1:7" x14ac:dyDescent="0.2">
      <c r="A5" s="2" t="s">
        <v>5</v>
      </c>
      <c r="C5" s="2" t="s">
        <v>4</v>
      </c>
      <c r="E5" s="2" t="s">
        <v>28</v>
      </c>
      <c r="G5" s="2" t="s">
        <v>104</v>
      </c>
    </row>
    <row r="6" spans="1:7" x14ac:dyDescent="0.2">
      <c r="C6" s="2" t="s">
        <v>14</v>
      </c>
      <c r="E6" s="2" t="s">
        <v>19</v>
      </c>
    </row>
    <row r="7" spans="1:7" x14ac:dyDescent="0.2">
      <c r="C7" s="2" t="s">
        <v>13</v>
      </c>
      <c r="E7" s="2" t="s">
        <v>19</v>
      </c>
    </row>
    <row r="8" spans="1:7" x14ac:dyDescent="0.2">
      <c r="C8" s="2" t="s">
        <v>30</v>
      </c>
      <c r="E8" s="2" t="s">
        <v>29</v>
      </c>
      <c r="G8" s="2" t="s">
        <v>102</v>
      </c>
    </row>
    <row r="9" spans="1:7" x14ac:dyDescent="0.2">
      <c r="G9" s="2" t="s">
        <v>31</v>
      </c>
    </row>
    <row r="10" spans="1:7" x14ac:dyDescent="0.2">
      <c r="C10" s="2" t="s">
        <v>62</v>
      </c>
      <c r="E10" s="2" t="s">
        <v>100</v>
      </c>
      <c r="G10" s="2" t="s">
        <v>101</v>
      </c>
    </row>
    <row r="11" spans="1:7" x14ac:dyDescent="0.2">
      <c r="C11" s="2" t="s">
        <v>63</v>
      </c>
      <c r="E11" s="2" t="s">
        <v>19</v>
      </c>
    </row>
    <row r="12" spans="1:7" x14ac:dyDescent="0.2">
      <c r="C12" s="2" t="s">
        <v>69</v>
      </c>
      <c r="E12" s="2" t="s">
        <v>19</v>
      </c>
    </row>
    <row r="13" spans="1:7" x14ac:dyDescent="0.2">
      <c r="C13" s="2" t="s">
        <v>72</v>
      </c>
      <c r="E13" s="2" t="s">
        <v>19</v>
      </c>
    </row>
    <row r="15" spans="1:7" x14ac:dyDescent="0.2">
      <c r="A15" s="2" t="s">
        <v>6</v>
      </c>
      <c r="C15" s="2" t="s">
        <v>4</v>
      </c>
      <c r="E15" s="2" t="s">
        <v>27</v>
      </c>
      <c r="G15" s="2" t="s">
        <v>103</v>
      </c>
    </row>
    <row r="16" spans="1:7" x14ac:dyDescent="0.2">
      <c r="C16" s="2" t="s">
        <v>7</v>
      </c>
      <c r="E16" s="2" t="s">
        <v>18</v>
      </c>
    </row>
    <row r="17" spans="1:7" x14ac:dyDescent="0.2">
      <c r="C17" s="2" t="s">
        <v>8</v>
      </c>
      <c r="E17" s="2" t="s">
        <v>19</v>
      </c>
    </row>
    <row r="18" spans="1:7" x14ac:dyDescent="0.2">
      <c r="C18" s="2" t="s">
        <v>9</v>
      </c>
      <c r="E18" s="2" t="s">
        <v>19</v>
      </c>
    </row>
    <row r="19" spans="1:7" x14ac:dyDescent="0.2">
      <c r="C19" s="2" t="s">
        <v>36</v>
      </c>
      <c r="E19" s="2" t="s">
        <v>39</v>
      </c>
      <c r="G19" s="2" t="s">
        <v>37</v>
      </c>
    </row>
    <row r="20" spans="1:7" x14ac:dyDescent="0.2">
      <c r="G20" s="2" t="s">
        <v>38</v>
      </c>
    </row>
    <row r="21" spans="1:7" x14ac:dyDescent="0.2">
      <c r="C21" s="2" t="s">
        <v>44</v>
      </c>
      <c r="E21" s="2" t="s">
        <v>45</v>
      </c>
      <c r="G21" s="2" t="s">
        <v>46</v>
      </c>
    </row>
    <row r="23" spans="1:7" x14ac:dyDescent="0.2">
      <c r="A23" s="2" t="s">
        <v>10</v>
      </c>
      <c r="C23" s="2" t="s">
        <v>11</v>
      </c>
      <c r="E23" s="2" t="s">
        <v>12</v>
      </c>
    </row>
    <row r="24" spans="1:7" x14ac:dyDescent="0.2">
      <c r="C24" s="2" t="s">
        <v>40</v>
      </c>
      <c r="E24" s="2" t="s">
        <v>41</v>
      </c>
      <c r="G24" s="2" t="s">
        <v>43</v>
      </c>
    </row>
    <row r="27" spans="1:7" x14ac:dyDescent="0.2">
      <c r="A27" s="2" t="s">
        <v>16</v>
      </c>
      <c r="C27" s="2" t="s">
        <v>7</v>
      </c>
      <c r="E27" s="2" t="s">
        <v>18</v>
      </c>
    </row>
    <row r="28" spans="1:7" x14ac:dyDescent="0.2">
      <c r="C28" s="2" t="s">
        <v>8</v>
      </c>
      <c r="E28" s="2" t="s">
        <v>19</v>
      </c>
    </row>
    <row r="29" spans="1:7" x14ac:dyDescent="0.2">
      <c r="C29" s="2" t="s">
        <v>4</v>
      </c>
      <c r="E29" s="2" t="s">
        <v>19</v>
      </c>
    </row>
    <row r="30" spans="1:7" x14ac:dyDescent="0.2">
      <c r="C30" s="2" t="s">
        <v>14</v>
      </c>
      <c r="E30" s="2" t="s">
        <v>19</v>
      </c>
    </row>
    <row r="31" spans="1:7" x14ac:dyDescent="0.2">
      <c r="C31" s="2" t="s">
        <v>17</v>
      </c>
      <c r="E31" s="2" t="s">
        <v>19</v>
      </c>
    </row>
    <row r="32" spans="1:7" x14ac:dyDescent="0.2">
      <c r="C32" s="2" t="s">
        <v>42</v>
      </c>
      <c r="E32" s="2" t="s">
        <v>41</v>
      </c>
    </row>
    <row r="34" spans="1:7" x14ac:dyDescent="0.2">
      <c r="A34" s="2" t="s">
        <v>47</v>
      </c>
      <c r="C34" s="2" t="s">
        <v>20</v>
      </c>
      <c r="E34" s="2" t="s">
        <v>26</v>
      </c>
      <c r="G34" s="2" t="s">
        <v>25</v>
      </c>
    </row>
    <row r="35" spans="1:7" x14ac:dyDescent="0.2">
      <c r="C35" s="2" t="s">
        <v>21</v>
      </c>
      <c r="E35" s="2" t="s">
        <v>19</v>
      </c>
      <c r="G35" s="2" t="s">
        <v>48</v>
      </c>
    </row>
    <row r="36" spans="1:7" x14ac:dyDescent="0.2">
      <c r="C36" s="2" t="s">
        <v>22</v>
      </c>
      <c r="E36" s="2" t="s">
        <v>19</v>
      </c>
    </row>
    <row r="37" spans="1:7" x14ac:dyDescent="0.2">
      <c r="C37" s="2" t="s">
        <v>23</v>
      </c>
      <c r="E37" s="2" t="s">
        <v>19</v>
      </c>
    </row>
    <row r="38" spans="1:7" x14ac:dyDescent="0.2">
      <c r="C38" s="2" t="s">
        <v>24</v>
      </c>
      <c r="E38" s="2" t="s">
        <v>19</v>
      </c>
    </row>
    <row r="39" spans="1:7" x14ac:dyDescent="0.2">
      <c r="C39" s="2" t="s">
        <v>32</v>
      </c>
      <c r="E39" s="2" t="s">
        <v>35</v>
      </c>
      <c r="G39" s="2" t="s">
        <v>33</v>
      </c>
    </row>
    <row r="40" spans="1:7" x14ac:dyDescent="0.2">
      <c r="C40" s="2" t="s">
        <v>34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topLeftCell="A34" workbookViewId="0">
      <selection activeCell="I26" sqref="I26"/>
    </sheetView>
  </sheetViews>
  <sheetFormatPr defaultRowHeight="12.75" x14ac:dyDescent="0.2"/>
  <cols>
    <col min="1" max="1" width="10" style="5" bestFit="1" customWidth="1"/>
    <col min="2" max="11" width="9.140625" style="2"/>
    <col min="12" max="12" width="9.85546875" style="2" customWidth="1"/>
    <col min="13" max="16384" width="9.140625" style="2"/>
  </cols>
  <sheetData>
    <row r="1" spans="1:9" x14ac:dyDescent="0.2">
      <c r="A1" s="5" t="s">
        <v>92</v>
      </c>
    </row>
    <row r="4" spans="1:9" x14ac:dyDescent="0.2">
      <c r="C4" s="22" t="s">
        <v>86</v>
      </c>
      <c r="D4" s="22"/>
      <c r="E4" s="22" t="s">
        <v>85</v>
      </c>
      <c r="F4" s="22"/>
    </row>
    <row r="5" spans="1:9" x14ac:dyDescent="0.2">
      <c r="C5" s="6" t="s">
        <v>49</v>
      </c>
      <c r="D5" s="6" t="s">
        <v>84</v>
      </c>
      <c r="E5" s="6" t="s">
        <v>49</v>
      </c>
      <c r="F5" s="6" t="s">
        <v>84</v>
      </c>
      <c r="H5" s="2" t="s">
        <v>95</v>
      </c>
    </row>
    <row r="6" spans="1:9" x14ac:dyDescent="0.2">
      <c r="A6" s="5" t="s">
        <v>50</v>
      </c>
      <c r="C6" s="7">
        <v>39</v>
      </c>
      <c r="D6" s="7">
        <v>152</v>
      </c>
      <c r="E6" s="8">
        <v>57</v>
      </c>
      <c r="F6" s="8">
        <v>138</v>
      </c>
      <c r="H6" s="2" t="s">
        <v>96</v>
      </c>
    </row>
    <row r="7" spans="1:9" x14ac:dyDescent="0.2">
      <c r="A7" s="5" t="s">
        <v>51</v>
      </c>
      <c r="C7" s="8">
        <v>41</v>
      </c>
      <c r="D7" s="8">
        <v>160</v>
      </c>
      <c r="E7" s="7">
        <v>53</v>
      </c>
      <c r="F7" s="8">
        <v>138</v>
      </c>
    </row>
    <row r="8" spans="1:9" x14ac:dyDescent="0.2">
      <c r="A8" s="5" t="s">
        <v>52</v>
      </c>
      <c r="C8" s="8">
        <v>41</v>
      </c>
      <c r="D8" s="7">
        <v>151</v>
      </c>
      <c r="E8" s="7">
        <v>51</v>
      </c>
      <c r="F8" s="8">
        <v>140</v>
      </c>
      <c r="H8" s="2" t="s">
        <v>94</v>
      </c>
    </row>
    <row r="9" spans="1:9" x14ac:dyDescent="0.2">
      <c r="A9" s="5" t="s">
        <v>53</v>
      </c>
      <c r="C9" s="8">
        <v>50</v>
      </c>
      <c r="D9" s="8">
        <v>161</v>
      </c>
      <c r="E9" s="8">
        <v>66</v>
      </c>
      <c r="F9" s="8">
        <v>144</v>
      </c>
    </row>
    <row r="10" spans="1:9" x14ac:dyDescent="0.2">
      <c r="A10" s="5" t="s">
        <v>54</v>
      </c>
      <c r="C10" s="7">
        <v>39</v>
      </c>
      <c r="D10" s="8">
        <v>156</v>
      </c>
      <c r="E10" s="7">
        <v>54</v>
      </c>
      <c r="F10" s="7">
        <v>127</v>
      </c>
      <c r="G10" s="8"/>
      <c r="H10" s="7"/>
      <c r="I10" s="2" t="s">
        <v>93</v>
      </c>
    </row>
    <row r="11" spans="1:9" x14ac:dyDescent="0.2">
      <c r="A11" s="5" t="s">
        <v>55</v>
      </c>
      <c r="C11" s="8">
        <v>45</v>
      </c>
      <c r="D11" s="7">
        <v>153</v>
      </c>
      <c r="E11" s="8">
        <v>58</v>
      </c>
      <c r="F11" s="8">
        <v>138</v>
      </c>
    </row>
    <row r="12" spans="1:9" x14ac:dyDescent="0.2">
      <c r="A12" s="5" t="s">
        <v>56</v>
      </c>
      <c r="C12" s="8">
        <v>46</v>
      </c>
      <c r="D12" s="7">
        <v>152</v>
      </c>
      <c r="E12" s="8">
        <v>62</v>
      </c>
      <c r="F12" s="8">
        <v>144</v>
      </c>
      <c r="H12" s="9"/>
      <c r="I12" s="2" t="s">
        <v>97</v>
      </c>
    </row>
    <row r="13" spans="1:9" x14ac:dyDescent="0.2">
      <c r="A13" s="5" t="s">
        <v>57</v>
      </c>
      <c r="C13" s="8">
        <v>47</v>
      </c>
      <c r="D13" s="7">
        <v>155</v>
      </c>
      <c r="E13" s="8">
        <v>63</v>
      </c>
      <c r="F13" s="8"/>
      <c r="I13" s="10" t="s">
        <v>98</v>
      </c>
    </row>
    <row r="14" spans="1:9" x14ac:dyDescent="0.2">
      <c r="A14" s="5" t="s">
        <v>58</v>
      </c>
      <c r="C14" s="7">
        <v>40</v>
      </c>
      <c r="D14" s="7">
        <v>151</v>
      </c>
      <c r="E14" s="8">
        <v>60</v>
      </c>
      <c r="F14" s="8"/>
      <c r="I14" s="2" t="s">
        <v>99</v>
      </c>
    </row>
    <row r="15" spans="1:9" x14ac:dyDescent="0.2">
      <c r="A15" s="5" t="s">
        <v>59</v>
      </c>
      <c r="C15" s="8">
        <v>43</v>
      </c>
      <c r="D15" s="8">
        <v>160</v>
      </c>
      <c r="E15" s="8">
        <v>65</v>
      </c>
      <c r="F15" s="8">
        <v>155</v>
      </c>
    </row>
    <row r="16" spans="1:9" x14ac:dyDescent="0.2">
      <c r="A16" s="5" t="s">
        <v>60</v>
      </c>
      <c r="C16" s="8">
        <v>41</v>
      </c>
      <c r="D16" s="8">
        <v>156</v>
      </c>
      <c r="E16" s="11"/>
      <c r="F16" s="8"/>
    </row>
    <row r="17" spans="1:20" x14ac:dyDescent="0.2">
      <c r="A17" s="5" t="s">
        <v>61</v>
      </c>
      <c r="C17" s="8">
        <v>49</v>
      </c>
      <c r="D17" s="7">
        <v>154</v>
      </c>
      <c r="E17" s="8">
        <v>61</v>
      </c>
      <c r="F17" s="8"/>
      <c r="L17" s="2" t="s">
        <v>134</v>
      </c>
    </row>
    <row r="18" spans="1:20" x14ac:dyDescent="0.2">
      <c r="A18" s="12" t="s">
        <v>62</v>
      </c>
      <c r="C18" s="7">
        <v>39</v>
      </c>
      <c r="D18" s="7">
        <v>148</v>
      </c>
      <c r="E18" s="8">
        <v>52</v>
      </c>
      <c r="F18" s="7">
        <v>134</v>
      </c>
      <c r="L18" s="2" t="s">
        <v>135</v>
      </c>
      <c r="P18" s="2" t="s">
        <v>111</v>
      </c>
      <c r="S18" s="13"/>
      <c r="T18" s="2" t="s">
        <v>128</v>
      </c>
    </row>
    <row r="19" spans="1:20" x14ac:dyDescent="0.2">
      <c r="A19" s="12" t="s">
        <v>63</v>
      </c>
      <c r="C19" s="8">
        <v>42</v>
      </c>
      <c r="D19" s="7">
        <v>153</v>
      </c>
      <c r="E19" s="7">
        <v>51</v>
      </c>
      <c r="F19" s="7">
        <v>127</v>
      </c>
      <c r="H19" s="2" t="s">
        <v>133</v>
      </c>
      <c r="L19" s="2" t="s">
        <v>112</v>
      </c>
      <c r="P19" s="14" t="s">
        <v>72</v>
      </c>
    </row>
    <row r="20" spans="1:20" x14ac:dyDescent="0.2">
      <c r="A20" s="5" t="s">
        <v>64</v>
      </c>
      <c r="C20" s="8">
        <v>47</v>
      </c>
      <c r="D20" s="7">
        <v>152</v>
      </c>
      <c r="E20" s="8">
        <v>59</v>
      </c>
      <c r="F20" s="8"/>
      <c r="H20" s="2" t="s">
        <v>106</v>
      </c>
      <c r="L20" s="15" t="s">
        <v>113</v>
      </c>
      <c r="P20" s="16" t="s">
        <v>136</v>
      </c>
    </row>
    <row r="21" spans="1:20" x14ac:dyDescent="0.2">
      <c r="A21" s="5" t="s">
        <v>65</v>
      </c>
      <c r="C21" s="8">
        <v>45</v>
      </c>
      <c r="D21" s="7">
        <v>151</v>
      </c>
      <c r="E21" s="8">
        <v>59</v>
      </c>
      <c r="F21" s="8"/>
      <c r="H21" s="2" t="s">
        <v>107</v>
      </c>
      <c r="L21" s="2" t="s">
        <v>114</v>
      </c>
      <c r="P21" s="16" t="s">
        <v>71</v>
      </c>
    </row>
    <row r="22" spans="1:20" x14ac:dyDescent="0.2">
      <c r="A22" s="5" t="s">
        <v>66</v>
      </c>
      <c r="C22" s="8">
        <v>43</v>
      </c>
      <c r="D22" s="8">
        <v>156</v>
      </c>
      <c r="E22" s="8">
        <v>61</v>
      </c>
      <c r="F22" s="8">
        <v>139</v>
      </c>
      <c r="H22" s="2" t="s">
        <v>108</v>
      </c>
      <c r="L22" s="15" t="s">
        <v>76</v>
      </c>
      <c r="P22" s="15" t="s">
        <v>113</v>
      </c>
    </row>
    <row r="23" spans="1:20" x14ac:dyDescent="0.2">
      <c r="A23" s="5" t="s">
        <v>67</v>
      </c>
      <c r="C23" s="8">
        <v>41</v>
      </c>
      <c r="D23" s="7">
        <v>139</v>
      </c>
      <c r="E23" s="7">
        <v>51</v>
      </c>
      <c r="F23" s="8">
        <v>142</v>
      </c>
      <c r="H23" s="2" t="s">
        <v>109</v>
      </c>
      <c r="L23" s="17" t="s">
        <v>71</v>
      </c>
      <c r="P23" s="18" t="s">
        <v>79</v>
      </c>
    </row>
    <row r="24" spans="1:20" x14ac:dyDescent="0.2">
      <c r="A24" s="5" t="s">
        <v>68</v>
      </c>
      <c r="C24" s="7">
        <v>38</v>
      </c>
      <c r="D24" s="8">
        <v>160</v>
      </c>
      <c r="E24" s="8">
        <v>63</v>
      </c>
      <c r="F24" s="8">
        <v>146</v>
      </c>
      <c r="L24" s="2" t="s">
        <v>115</v>
      </c>
      <c r="P24" s="2" t="s">
        <v>118</v>
      </c>
    </row>
    <row r="25" spans="1:20" x14ac:dyDescent="0.2">
      <c r="A25" s="12" t="s">
        <v>69</v>
      </c>
      <c r="C25" s="8">
        <v>43</v>
      </c>
      <c r="D25" s="7">
        <v>143</v>
      </c>
      <c r="E25" s="8">
        <v>56</v>
      </c>
      <c r="F25" s="7">
        <v>133</v>
      </c>
      <c r="L25" s="2" t="s">
        <v>117</v>
      </c>
      <c r="P25" s="16" t="s">
        <v>127</v>
      </c>
    </row>
    <row r="26" spans="1:20" x14ac:dyDescent="0.2">
      <c r="A26" s="5" t="s">
        <v>70</v>
      </c>
      <c r="C26" s="8">
        <v>45</v>
      </c>
      <c r="D26" s="8">
        <v>160</v>
      </c>
      <c r="E26" s="8">
        <v>64</v>
      </c>
      <c r="F26" s="8">
        <v>143</v>
      </c>
      <c r="L26" s="15" t="s">
        <v>127</v>
      </c>
      <c r="P26" s="2" t="s">
        <v>119</v>
      </c>
    </row>
    <row r="27" spans="1:20" x14ac:dyDescent="0.2">
      <c r="A27" s="5" t="s">
        <v>71</v>
      </c>
      <c r="C27" s="8">
        <v>47</v>
      </c>
      <c r="D27" s="8">
        <v>160</v>
      </c>
      <c r="E27" s="7">
        <v>54</v>
      </c>
      <c r="F27" s="7">
        <v>136</v>
      </c>
      <c r="L27" s="5" t="s">
        <v>78</v>
      </c>
      <c r="P27" s="2" t="s">
        <v>120</v>
      </c>
    </row>
    <row r="28" spans="1:20" x14ac:dyDescent="0.2">
      <c r="A28" s="12" t="s">
        <v>72</v>
      </c>
      <c r="C28" s="7">
        <v>39</v>
      </c>
      <c r="D28" s="7">
        <v>143</v>
      </c>
      <c r="E28" s="7">
        <v>53</v>
      </c>
      <c r="F28" s="7">
        <v>129</v>
      </c>
      <c r="L28" s="15" t="s">
        <v>137</v>
      </c>
      <c r="N28" s="15"/>
      <c r="P28" s="15" t="s">
        <v>76</v>
      </c>
    </row>
    <row r="29" spans="1:20" x14ac:dyDescent="0.2">
      <c r="A29" s="5" t="s">
        <v>73</v>
      </c>
      <c r="C29" s="7">
        <v>39</v>
      </c>
      <c r="D29" s="8">
        <v>160</v>
      </c>
      <c r="E29" s="7">
        <v>53</v>
      </c>
      <c r="F29" s="7">
        <v>134</v>
      </c>
    </row>
    <row r="30" spans="1:20" x14ac:dyDescent="0.2">
      <c r="A30" s="5" t="s">
        <v>74</v>
      </c>
      <c r="C30" s="7">
        <v>39</v>
      </c>
      <c r="D30" s="8">
        <v>161</v>
      </c>
      <c r="E30" s="7">
        <v>54</v>
      </c>
      <c r="F30" s="7">
        <v>127</v>
      </c>
      <c r="L30" s="2" t="s">
        <v>121</v>
      </c>
    </row>
    <row r="31" spans="1:20" x14ac:dyDescent="0.2">
      <c r="A31" s="5" t="s">
        <v>75</v>
      </c>
      <c r="C31" s="7">
        <v>39</v>
      </c>
      <c r="D31" s="8">
        <v>160</v>
      </c>
      <c r="E31" s="7">
        <v>47</v>
      </c>
      <c r="F31" s="8">
        <v>155</v>
      </c>
      <c r="L31" s="2" t="s">
        <v>122</v>
      </c>
      <c r="M31" s="2" t="s">
        <v>123</v>
      </c>
      <c r="O31" s="13"/>
    </row>
    <row r="32" spans="1:20" x14ac:dyDescent="0.2">
      <c r="A32" s="5" t="s">
        <v>76</v>
      </c>
      <c r="C32" s="7">
        <v>38</v>
      </c>
      <c r="D32" s="8">
        <v>157</v>
      </c>
      <c r="E32" s="8">
        <v>58</v>
      </c>
      <c r="F32" s="7">
        <v>130</v>
      </c>
      <c r="M32" s="2" t="s">
        <v>124</v>
      </c>
    </row>
    <row r="33" spans="1:15" x14ac:dyDescent="0.2">
      <c r="A33" s="5" t="s">
        <v>77</v>
      </c>
      <c r="C33" s="8">
        <v>41</v>
      </c>
      <c r="D33" s="7">
        <v>155</v>
      </c>
      <c r="E33" s="8">
        <v>56</v>
      </c>
      <c r="F33" s="8">
        <v>139</v>
      </c>
    </row>
    <row r="34" spans="1:15" x14ac:dyDescent="0.2">
      <c r="A34" s="5" t="s">
        <v>78</v>
      </c>
      <c r="C34" s="7">
        <v>39</v>
      </c>
      <c r="D34" s="8">
        <v>161</v>
      </c>
      <c r="E34" s="7">
        <v>48</v>
      </c>
      <c r="F34" s="7">
        <v>134</v>
      </c>
      <c r="M34" s="13" t="s">
        <v>126</v>
      </c>
    </row>
    <row r="35" spans="1:15" x14ac:dyDescent="0.2">
      <c r="A35" s="5" t="s">
        <v>116</v>
      </c>
      <c r="C35" s="8">
        <v>41</v>
      </c>
      <c r="D35" s="8">
        <v>160</v>
      </c>
      <c r="E35" s="8">
        <v>64</v>
      </c>
      <c r="F35" s="7">
        <v>127</v>
      </c>
      <c r="M35" s="13" t="s">
        <v>125</v>
      </c>
    </row>
    <row r="36" spans="1:15" x14ac:dyDescent="0.2">
      <c r="A36" s="5" t="s">
        <v>79</v>
      </c>
      <c r="C36" s="8">
        <v>41</v>
      </c>
      <c r="D36" s="8">
        <v>156</v>
      </c>
      <c r="E36" s="7">
        <v>54</v>
      </c>
      <c r="F36" s="8">
        <v>139</v>
      </c>
      <c r="K36" s="2" t="s">
        <v>131</v>
      </c>
      <c r="M36" s="5" t="s">
        <v>129</v>
      </c>
    </row>
    <row r="37" spans="1:15" x14ac:dyDescent="0.2">
      <c r="A37" s="5" t="s">
        <v>80</v>
      </c>
      <c r="C37" s="8">
        <v>41</v>
      </c>
      <c r="D37" s="8">
        <v>160</v>
      </c>
      <c r="E37" s="7">
        <v>47</v>
      </c>
      <c r="F37" s="7">
        <v>127</v>
      </c>
      <c r="M37" s="5" t="s">
        <v>130</v>
      </c>
    </row>
    <row r="38" spans="1:15" x14ac:dyDescent="0.2">
      <c r="A38" s="5" t="s">
        <v>81</v>
      </c>
      <c r="C38" s="8">
        <v>46</v>
      </c>
      <c r="D38" s="8">
        <v>160</v>
      </c>
      <c r="E38" s="8">
        <v>64</v>
      </c>
      <c r="F38" s="8"/>
    </row>
    <row r="39" spans="1:15" x14ac:dyDescent="0.2">
      <c r="A39" s="5" t="s">
        <v>82</v>
      </c>
      <c r="C39" s="8">
        <v>47</v>
      </c>
      <c r="D39" s="8">
        <v>161</v>
      </c>
      <c r="E39" s="8">
        <v>61</v>
      </c>
      <c r="F39" s="7">
        <v>133</v>
      </c>
      <c r="L39" s="2" t="s">
        <v>132</v>
      </c>
    </row>
    <row r="40" spans="1:15" x14ac:dyDescent="0.2">
      <c r="A40" s="5" t="s">
        <v>83</v>
      </c>
      <c r="C40" s="8">
        <v>43</v>
      </c>
      <c r="D40" s="8">
        <v>161</v>
      </c>
      <c r="E40" s="7">
        <v>54</v>
      </c>
      <c r="F40" s="7">
        <v>136</v>
      </c>
      <c r="L40" s="2" t="s">
        <v>110</v>
      </c>
      <c r="O40" s="2" t="s">
        <v>111</v>
      </c>
    </row>
    <row r="41" spans="1:15" x14ac:dyDescent="0.2">
      <c r="L41" s="2" t="s">
        <v>64</v>
      </c>
      <c r="O41" s="19" t="s">
        <v>62</v>
      </c>
    </row>
    <row r="42" spans="1:15" x14ac:dyDescent="0.2">
      <c r="B42" s="2" t="s">
        <v>89</v>
      </c>
      <c r="C42" s="2">
        <f>MODE(C6:C40)</f>
        <v>39</v>
      </c>
      <c r="D42" s="2">
        <f t="shared" ref="D42:E42" si="0">MODE(D6:D40)</f>
        <v>160</v>
      </c>
      <c r="E42" s="2">
        <f t="shared" si="0"/>
        <v>54</v>
      </c>
      <c r="F42" s="8">
        <f>MODE(F6:F40)</f>
        <v>127</v>
      </c>
      <c r="L42" s="19" t="s">
        <v>52</v>
      </c>
      <c r="O42" s="19" t="s">
        <v>65</v>
      </c>
    </row>
    <row r="43" spans="1:15" x14ac:dyDescent="0.2">
      <c r="B43" s="2" t="s">
        <v>88</v>
      </c>
      <c r="C43" s="2">
        <f>MEDIAN(C6:C40)</f>
        <v>41</v>
      </c>
      <c r="D43" s="2">
        <f t="shared" ref="D43:F43" si="1">MEDIAN(D6:D40)</f>
        <v>156</v>
      </c>
      <c r="E43" s="2">
        <f t="shared" si="1"/>
        <v>56.5</v>
      </c>
      <c r="F43" s="8">
        <f t="shared" si="1"/>
        <v>137</v>
      </c>
      <c r="L43" s="19" t="s">
        <v>62</v>
      </c>
      <c r="O43" s="2" t="s">
        <v>75</v>
      </c>
    </row>
    <row r="44" spans="1:15" x14ac:dyDescent="0.2">
      <c r="B44" s="2" t="s">
        <v>87</v>
      </c>
      <c r="C44" s="20">
        <f>AVERAGE(C6:C40)</f>
        <v>42.4</v>
      </c>
      <c r="D44" s="20">
        <f t="shared" ref="D44:F44" si="2">AVERAGE(D6:D40)</f>
        <v>155.37142857142857</v>
      </c>
      <c r="E44" s="20">
        <f t="shared" si="2"/>
        <v>56.852941176470587</v>
      </c>
      <c r="F44" s="21">
        <f t="shared" si="2"/>
        <v>136.92857142857142</v>
      </c>
      <c r="L44" s="2" t="s">
        <v>67</v>
      </c>
      <c r="O44" s="2" t="s">
        <v>82</v>
      </c>
    </row>
    <row r="45" spans="1:15" x14ac:dyDescent="0.2">
      <c r="B45" s="2" t="s">
        <v>90</v>
      </c>
      <c r="C45" s="2">
        <f>MIN(C6:C40)</f>
        <v>38</v>
      </c>
      <c r="D45" s="2">
        <f t="shared" ref="D45:F45" si="3">MIN(D6:D40)</f>
        <v>139</v>
      </c>
      <c r="E45" s="2">
        <f t="shared" si="3"/>
        <v>47</v>
      </c>
      <c r="F45" s="8">
        <f t="shared" si="3"/>
        <v>127</v>
      </c>
      <c r="L45" s="2" t="s">
        <v>63</v>
      </c>
      <c r="O45" s="2" t="s">
        <v>53</v>
      </c>
    </row>
    <row r="46" spans="1:15" x14ac:dyDescent="0.2">
      <c r="B46" s="2" t="s">
        <v>91</v>
      </c>
      <c r="C46" s="2">
        <f>MAX(C6:C40)</f>
        <v>50</v>
      </c>
      <c r="D46" s="2">
        <f t="shared" ref="D46:F46" si="4">MAX(D6:D40)</f>
        <v>161</v>
      </c>
      <c r="E46" s="2">
        <f t="shared" si="4"/>
        <v>66</v>
      </c>
      <c r="F46" s="2">
        <f t="shared" si="4"/>
        <v>155</v>
      </c>
      <c r="L46" s="2" t="s">
        <v>61</v>
      </c>
      <c r="O46" s="2" t="s">
        <v>51</v>
      </c>
    </row>
    <row r="47" spans="1:15" x14ac:dyDescent="0.2">
      <c r="L47" s="2" t="s">
        <v>66</v>
      </c>
      <c r="O47" s="2" t="s">
        <v>73</v>
      </c>
    </row>
    <row r="48" spans="1:15" x14ac:dyDescent="0.2">
      <c r="L48" s="19" t="s">
        <v>65</v>
      </c>
      <c r="O48" s="19" t="s">
        <v>52</v>
      </c>
    </row>
    <row r="49" spans="12:15" x14ac:dyDescent="0.2">
      <c r="L49" s="2" t="s">
        <v>81</v>
      </c>
      <c r="O49" s="2" t="s">
        <v>58</v>
      </c>
    </row>
    <row r="50" spans="12:15" x14ac:dyDescent="0.2">
      <c r="L50" s="2" t="s">
        <v>54</v>
      </c>
      <c r="O50" s="2" t="s">
        <v>80</v>
      </c>
    </row>
  </sheetData>
  <mergeCells count="2">
    <mergeCell ref="C4:D4"/>
    <mergeCell ref="E4:F4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characters</vt:lpstr>
      <vt:lpstr>Sheet2-Ozie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2012-10-18T03:03:43Z</dcterms:created>
  <dcterms:modified xsi:type="dcterms:W3CDTF">2014-01-06T08:52:26Z</dcterms:modified>
</cp:coreProperties>
</file>