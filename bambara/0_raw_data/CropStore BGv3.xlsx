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opstore\SCU_Aug18\"/>
    </mc:Choice>
  </mc:AlternateContent>
  <bookViews>
    <workbookView xWindow="0" yWindow="0" windowWidth="18000" windowHeight="7815" tabRatio="825"/>
  </bookViews>
  <sheets>
    <sheet name="overview" sheetId="11" r:id="rId1"/>
    <sheet name="trials info" sheetId="2" r:id="rId2"/>
    <sheet name="P3_2018" sheetId="12" r:id="rId3"/>
    <sheet name="FRC field map" sheetId="7" r:id="rId4"/>
    <sheet name="SPD lines" sheetId="4" r:id="rId5"/>
    <sheet name="Pop Line" sheetId="5" r:id="rId6"/>
    <sheet name="TD1F5_GEM map" sheetId="9" r:id="rId7"/>
    <sheet name="TD1F5_GEM_QTL" sheetId="10" r:id="rId8"/>
  </sheets>
  <definedNames>
    <definedName name="_xlnm._FilterDatabase" localSheetId="5" hidden="1">'Pop Line'!$A$1:$G$1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2" i="12" l="1"/>
  <c r="R62" i="12"/>
  <c r="Q62" i="12"/>
  <c r="N62" i="12"/>
  <c r="K62" i="12"/>
  <c r="S61" i="12"/>
  <c r="R61" i="12"/>
  <c r="Q61" i="12"/>
  <c r="N61" i="12"/>
  <c r="K61" i="12"/>
  <c r="F61" i="12"/>
  <c r="S60" i="12"/>
  <c r="R60" i="12"/>
  <c r="Q60" i="12"/>
  <c r="N60" i="12"/>
  <c r="K60" i="12"/>
  <c r="F60" i="12"/>
  <c r="S59" i="12"/>
  <c r="R59" i="12"/>
  <c r="Q59" i="12"/>
  <c r="N59" i="12"/>
  <c r="K59" i="12"/>
  <c r="F59" i="12"/>
  <c r="S58" i="12"/>
  <c r="R58" i="12"/>
  <c r="Q58" i="12"/>
  <c r="N58" i="12"/>
  <c r="K58" i="12"/>
  <c r="F58" i="12"/>
  <c r="S57" i="12"/>
  <c r="R57" i="12"/>
  <c r="Q57" i="12"/>
  <c r="N57" i="12"/>
  <c r="K57" i="12"/>
  <c r="F57" i="12"/>
  <c r="R56" i="12"/>
  <c r="Q56" i="12"/>
  <c r="N56" i="12"/>
  <c r="K56" i="12"/>
  <c r="F56" i="12"/>
  <c r="R55" i="12"/>
  <c r="Q55" i="12"/>
  <c r="N55" i="12"/>
  <c r="K55" i="12"/>
  <c r="F55" i="12"/>
  <c r="R54" i="12"/>
  <c r="Q54" i="12"/>
  <c r="N54" i="12"/>
  <c r="K54" i="12"/>
  <c r="F54" i="12"/>
  <c r="R53" i="12"/>
  <c r="Q53" i="12"/>
  <c r="N53" i="12"/>
  <c r="K53" i="12"/>
  <c r="F53" i="12"/>
  <c r="S52" i="12"/>
  <c r="R52" i="12"/>
  <c r="Q52" i="12"/>
  <c r="N52" i="12"/>
  <c r="K52" i="12"/>
  <c r="S51" i="12"/>
  <c r="R51" i="12"/>
  <c r="Q51" i="12"/>
  <c r="N51" i="12"/>
  <c r="K51" i="12"/>
  <c r="F51" i="12"/>
  <c r="R50" i="12"/>
  <c r="Q50" i="12"/>
  <c r="N50" i="12"/>
  <c r="K50" i="12"/>
  <c r="R49" i="12"/>
  <c r="Q49" i="12"/>
  <c r="N49" i="12"/>
  <c r="K49" i="12"/>
  <c r="S48" i="12"/>
  <c r="R48" i="12"/>
  <c r="Q48" i="12"/>
  <c r="N48" i="12"/>
  <c r="K48" i="12"/>
  <c r="F48" i="12"/>
  <c r="S47" i="12"/>
  <c r="R47" i="12"/>
  <c r="Q47" i="12"/>
  <c r="N47" i="12"/>
  <c r="K47" i="12"/>
  <c r="F47" i="12"/>
  <c r="S46" i="12"/>
  <c r="R46" i="12"/>
  <c r="Q46" i="12"/>
  <c r="N46" i="12"/>
  <c r="K46" i="12"/>
  <c r="S45" i="12"/>
  <c r="R45" i="12"/>
  <c r="Q45" i="12"/>
  <c r="N45" i="12"/>
  <c r="K45" i="12"/>
  <c r="F45" i="12"/>
  <c r="S44" i="12"/>
  <c r="R44" i="12"/>
  <c r="Q44" i="12"/>
  <c r="N44" i="12"/>
  <c r="K44" i="12"/>
  <c r="F44" i="12"/>
  <c r="S43" i="12"/>
  <c r="R43" i="12"/>
  <c r="Q43" i="12"/>
  <c r="N43" i="12"/>
  <c r="K43" i="12"/>
  <c r="F43" i="12"/>
  <c r="S42" i="12"/>
  <c r="R42" i="12"/>
  <c r="Q42" i="12"/>
  <c r="N42" i="12"/>
  <c r="K42" i="12"/>
  <c r="F42" i="12"/>
  <c r="R41" i="12"/>
  <c r="Q41" i="12"/>
  <c r="N41" i="12"/>
  <c r="K41" i="12"/>
  <c r="F41" i="12"/>
  <c r="S40" i="12"/>
  <c r="R40" i="12"/>
  <c r="Q40" i="12"/>
  <c r="N40" i="12"/>
  <c r="K40" i="12"/>
  <c r="F40" i="12"/>
  <c r="S39" i="12"/>
  <c r="R39" i="12"/>
  <c r="Q39" i="12"/>
  <c r="N39" i="12"/>
  <c r="K39" i="12"/>
  <c r="F39" i="12"/>
  <c r="R38" i="12"/>
  <c r="Q38" i="12"/>
  <c r="N38" i="12"/>
  <c r="K38" i="12"/>
  <c r="F38" i="12"/>
  <c r="S37" i="12"/>
  <c r="R37" i="12"/>
  <c r="Q37" i="12"/>
  <c r="N37" i="12"/>
  <c r="K37" i="12"/>
  <c r="F37" i="12"/>
  <c r="S36" i="12"/>
  <c r="R36" i="12"/>
  <c r="Q36" i="12"/>
  <c r="N36" i="12"/>
  <c r="K36" i="12"/>
  <c r="F36" i="12"/>
  <c r="S35" i="12"/>
  <c r="R35" i="12"/>
  <c r="Q35" i="12"/>
  <c r="N35" i="12"/>
  <c r="K35" i="12"/>
  <c r="F35" i="12"/>
  <c r="S34" i="12"/>
  <c r="R34" i="12"/>
  <c r="Q34" i="12"/>
  <c r="N34" i="12"/>
  <c r="K34" i="12"/>
  <c r="F34" i="12"/>
  <c r="R33" i="12"/>
  <c r="Q33" i="12"/>
  <c r="N33" i="12"/>
  <c r="K33" i="12"/>
  <c r="F33" i="12"/>
  <c r="S32" i="12"/>
  <c r="R32" i="12"/>
  <c r="Q32" i="12"/>
  <c r="N32" i="12"/>
  <c r="K32" i="12"/>
  <c r="F32" i="12"/>
  <c r="S31" i="12"/>
  <c r="R31" i="12"/>
  <c r="Q31" i="12"/>
  <c r="N31" i="12"/>
  <c r="K31" i="12"/>
  <c r="F31" i="12"/>
  <c r="S30" i="12"/>
  <c r="R30" i="12"/>
  <c r="Q30" i="12"/>
  <c r="N30" i="12"/>
  <c r="K30" i="12"/>
  <c r="F30" i="12"/>
  <c r="S29" i="12"/>
  <c r="R29" i="12"/>
  <c r="Q29" i="12"/>
  <c r="N29" i="12"/>
  <c r="K29" i="12"/>
  <c r="F29" i="12"/>
  <c r="S28" i="12"/>
  <c r="R28" i="12"/>
  <c r="Q28" i="12"/>
  <c r="N28" i="12"/>
  <c r="K28" i="12"/>
  <c r="F28" i="12"/>
  <c r="S27" i="12"/>
  <c r="R27" i="12"/>
  <c r="Q27" i="12"/>
  <c r="N27" i="12"/>
  <c r="K27" i="12"/>
  <c r="F27" i="12"/>
  <c r="S26" i="12"/>
  <c r="R26" i="12"/>
  <c r="Q26" i="12"/>
  <c r="N26" i="12"/>
  <c r="K26" i="12"/>
  <c r="F26" i="12"/>
  <c r="R25" i="12"/>
  <c r="Q25" i="12"/>
  <c r="N25" i="12"/>
  <c r="K25" i="12"/>
  <c r="F25" i="12"/>
  <c r="R24" i="12"/>
  <c r="Q24" i="12"/>
  <c r="N24" i="12"/>
  <c r="K24" i="12"/>
  <c r="F24" i="12"/>
  <c r="S23" i="12"/>
  <c r="R23" i="12"/>
  <c r="Q23" i="12"/>
  <c r="N23" i="12"/>
  <c r="K23" i="12"/>
  <c r="F23" i="12"/>
  <c r="S22" i="12"/>
  <c r="R22" i="12"/>
  <c r="Q22" i="12"/>
  <c r="N22" i="12"/>
  <c r="K22" i="12"/>
  <c r="F22" i="12"/>
  <c r="S21" i="12"/>
  <c r="R21" i="12"/>
  <c r="Q21" i="12"/>
  <c r="N21" i="12"/>
  <c r="K21" i="12"/>
  <c r="F21" i="12"/>
  <c r="S20" i="12"/>
  <c r="R20" i="12"/>
  <c r="Q20" i="12"/>
  <c r="N20" i="12"/>
  <c r="K20" i="12"/>
  <c r="F20" i="12"/>
  <c r="R19" i="12"/>
  <c r="Q19" i="12"/>
  <c r="N19" i="12"/>
  <c r="K19" i="12"/>
  <c r="F19" i="12"/>
  <c r="S18" i="12"/>
  <c r="R18" i="12"/>
  <c r="Q18" i="12"/>
  <c r="N18" i="12"/>
  <c r="K18" i="12"/>
  <c r="F18" i="12"/>
  <c r="R17" i="12"/>
  <c r="Q17" i="12"/>
  <c r="N17" i="12"/>
  <c r="K17" i="12"/>
  <c r="F17" i="12"/>
  <c r="S16" i="12"/>
  <c r="R16" i="12"/>
  <c r="Q16" i="12"/>
  <c r="N16" i="12"/>
  <c r="K16" i="12"/>
  <c r="F16" i="12"/>
  <c r="S15" i="12"/>
  <c r="R15" i="12"/>
  <c r="Q15" i="12"/>
  <c r="N15" i="12"/>
  <c r="K15" i="12"/>
  <c r="F15" i="12"/>
  <c r="S14" i="12"/>
  <c r="R14" i="12"/>
  <c r="Q14" i="12"/>
  <c r="N14" i="12"/>
  <c r="K14" i="12"/>
  <c r="F14" i="12"/>
  <c r="S13" i="12"/>
  <c r="R13" i="12"/>
  <c r="Q13" i="12"/>
  <c r="N13" i="12"/>
  <c r="K13" i="12"/>
  <c r="F13" i="12"/>
  <c r="R12" i="12"/>
  <c r="Q12" i="12"/>
  <c r="N12" i="12"/>
  <c r="K12" i="12"/>
  <c r="F12" i="12"/>
  <c r="R11" i="12"/>
  <c r="Q11" i="12"/>
  <c r="N11" i="12"/>
  <c r="K11" i="12"/>
  <c r="F11" i="12"/>
  <c r="R10" i="12"/>
  <c r="Q10" i="12"/>
  <c r="N10" i="12"/>
  <c r="K10" i="12"/>
  <c r="F10" i="12"/>
  <c r="R9" i="12"/>
  <c r="Q9" i="12"/>
  <c r="N9" i="12"/>
  <c r="K9" i="12"/>
  <c r="F9" i="12"/>
  <c r="S8" i="12"/>
  <c r="R8" i="12"/>
  <c r="Q8" i="12"/>
  <c r="N8" i="12"/>
  <c r="K8" i="12"/>
  <c r="F8" i="12"/>
  <c r="S7" i="12"/>
  <c r="R7" i="12"/>
  <c r="Q7" i="12"/>
  <c r="N7" i="12"/>
  <c r="K7" i="12"/>
  <c r="F7" i="12"/>
  <c r="S6" i="12"/>
  <c r="R6" i="12"/>
  <c r="Q6" i="12"/>
  <c r="N6" i="12"/>
  <c r="K6" i="12"/>
  <c r="F6" i="12"/>
  <c r="R5" i="12"/>
  <c r="Q5" i="12"/>
  <c r="N5" i="12"/>
  <c r="K5" i="12"/>
  <c r="F5" i="12"/>
  <c r="S4" i="12"/>
  <c r="R4" i="12"/>
  <c r="Q4" i="12"/>
  <c r="N4" i="12"/>
  <c r="K4" i="12"/>
  <c r="F4" i="12"/>
  <c r="S3" i="12"/>
  <c r="R3" i="12"/>
  <c r="Q3" i="12"/>
  <c r="N3" i="12"/>
  <c r="K3" i="12"/>
  <c r="F3" i="12"/>
</calcChain>
</file>

<file path=xl/comments1.xml><?xml version="1.0" encoding="utf-8"?>
<comments xmlns="http://schemas.openxmlformats.org/spreadsheetml/2006/main">
  <authors>
    <author>-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-:</t>
        </r>
        <r>
          <rPr>
            <sz val="9"/>
            <color indexed="81"/>
            <rFont val="Tahoma"/>
            <family val="2"/>
          </rPr>
          <t xml:space="preserve">
not minus paper bag yet
</t>
        </r>
      </text>
    </comment>
  </commentList>
</comments>
</file>

<file path=xl/sharedStrings.xml><?xml version="1.0" encoding="utf-8"?>
<sst xmlns="http://schemas.openxmlformats.org/spreadsheetml/2006/main" count="6806" uniqueCount="3210">
  <si>
    <t>↓</t>
  </si>
  <si>
    <t>Location</t>
  </si>
  <si>
    <t>Year</t>
  </si>
  <si>
    <t>TVSu-1</t>
  </si>
  <si>
    <t>TVSu-2</t>
  </si>
  <si>
    <t>TVSu-3</t>
  </si>
  <si>
    <t>TVSu-4</t>
  </si>
  <si>
    <t>TVSu-5</t>
  </si>
  <si>
    <t>TVSu-6</t>
  </si>
  <si>
    <t>TVSu-7</t>
  </si>
  <si>
    <t>TVSu-8</t>
  </si>
  <si>
    <t>TVSu-9</t>
  </si>
  <si>
    <t>TVSu-10</t>
  </si>
  <si>
    <t>TVSu-12</t>
  </si>
  <si>
    <t>TVSu-14</t>
  </si>
  <si>
    <t>TVSu-17</t>
  </si>
  <si>
    <t>TVSu-22</t>
  </si>
  <si>
    <t>TVSu-25</t>
  </si>
  <si>
    <t>TVSu-29</t>
  </si>
  <si>
    <t>TVSu-46</t>
  </si>
  <si>
    <t>TVSu-47</t>
  </si>
  <si>
    <t>TVSu-50</t>
  </si>
  <si>
    <t>TVSu-66</t>
  </si>
  <si>
    <t>TVSu-75</t>
  </si>
  <si>
    <t>TVSu-82</t>
  </si>
  <si>
    <t>TVSu-85</t>
  </si>
  <si>
    <t>TVSu-86</t>
  </si>
  <si>
    <t>TVSu-87</t>
  </si>
  <si>
    <t>TVSu-89</t>
  </si>
  <si>
    <t>TVSu-94</t>
  </si>
  <si>
    <t>TVSu-103</t>
  </si>
  <si>
    <t>TVSu-110</t>
  </si>
  <si>
    <t>TVSu-112</t>
  </si>
  <si>
    <t>TVSu-115</t>
  </si>
  <si>
    <t>TVSu-116</t>
  </si>
  <si>
    <t>TVSu-118</t>
  </si>
  <si>
    <t>TVSu-125</t>
  </si>
  <si>
    <t>TVSu-129</t>
  </si>
  <si>
    <t>TVSu-130</t>
  </si>
  <si>
    <t>TVSu-137</t>
  </si>
  <si>
    <t>TVSu-143</t>
  </si>
  <si>
    <t>TVSu-144</t>
  </si>
  <si>
    <t>TVSu-145</t>
  </si>
  <si>
    <t>TVSu-146</t>
  </si>
  <si>
    <t>TVSu-151</t>
  </si>
  <si>
    <t>TVSu-154</t>
  </si>
  <si>
    <t>TVSu-155</t>
  </si>
  <si>
    <t>TVSu-156</t>
  </si>
  <si>
    <t>TVSu-158</t>
  </si>
  <si>
    <t>TVSu-160</t>
  </si>
  <si>
    <t>TVSu-161</t>
  </si>
  <si>
    <t>TVSu-164</t>
  </si>
  <si>
    <t>TVSu-167</t>
  </si>
  <si>
    <t>TVSu-170</t>
  </si>
  <si>
    <t>TVSu-171</t>
  </si>
  <si>
    <t>TVSu-174</t>
  </si>
  <si>
    <t>TVSu-182</t>
  </si>
  <si>
    <t>TVSu-183</t>
  </si>
  <si>
    <t>TVSu-186</t>
  </si>
  <si>
    <t>TVSu-188</t>
  </si>
  <si>
    <t>TVSu-189</t>
  </si>
  <si>
    <t>TVSu-193</t>
  </si>
  <si>
    <t>TVSu-194</t>
  </si>
  <si>
    <t>TVSu-200</t>
  </si>
  <si>
    <t>TVSu-203</t>
  </si>
  <si>
    <t>TVSu-214</t>
  </si>
  <si>
    <t>TVSu-215</t>
  </si>
  <si>
    <t>TVSu-221</t>
  </si>
  <si>
    <t>TVSu-222</t>
  </si>
  <si>
    <t>TVSu-224</t>
  </si>
  <si>
    <t>TVSu-225</t>
  </si>
  <si>
    <t>TVSu-229</t>
  </si>
  <si>
    <t>TVSu-231</t>
  </si>
  <si>
    <t>TVSu-232</t>
  </si>
  <si>
    <t>TVSu-233</t>
  </si>
  <si>
    <t>TVSu-234</t>
  </si>
  <si>
    <t>TVSu-236</t>
  </si>
  <si>
    <t>TVSu-244</t>
  </si>
  <si>
    <t>TVSu-245</t>
  </si>
  <si>
    <t>TVSu-247</t>
  </si>
  <si>
    <t>TVSu-258</t>
  </si>
  <si>
    <t>TVSu-262</t>
  </si>
  <si>
    <t>TVSu-265</t>
  </si>
  <si>
    <t>TVSu-266</t>
  </si>
  <si>
    <t>TVSu-267</t>
  </si>
  <si>
    <t>TVSu-269</t>
  </si>
  <si>
    <t>TVSu-275</t>
  </si>
  <si>
    <t>TVSu-277</t>
  </si>
  <si>
    <t>TVSu-280</t>
  </si>
  <si>
    <t>TVSu-282</t>
  </si>
  <si>
    <t>TVSu-283</t>
  </si>
  <si>
    <t>TVSu-286</t>
  </si>
  <si>
    <t>TVSu-288</t>
  </si>
  <si>
    <t>TVSu-292</t>
  </si>
  <si>
    <t>TVSu-293</t>
  </si>
  <si>
    <t>TVSu-295</t>
  </si>
  <si>
    <t>TVSu-297</t>
  </si>
  <si>
    <t>TVSu-308</t>
  </si>
  <si>
    <t>TVSu-310</t>
  </si>
  <si>
    <t>TVSu-311</t>
  </si>
  <si>
    <t>TVSu-312</t>
  </si>
  <si>
    <t>TVSu-315</t>
  </si>
  <si>
    <t>TVSu-318</t>
  </si>
  <si>
    <t>TVSu-321</t>
  </si>
  <si>
    <t>TVSu-326</t>
  </si>
  <si>
    <t>TVSu-328</t>
  </si>
  <si>
    <t>TVSu-338</t>
  </si>
  <si>
    <t>TVSu-343</t>
  </si>
  <si>
    <t>TVSu-348</t>
  </si>
  <si>
    <t>TVSu-351</t>
  </si>
  <si>
    <t>TVSu-352</t>
  </si>
  <si>
    <t>TVSu-353</t>
  </si>
  <si>
    <t>TVSu-354</t>
  </si>
  <si>
    <t>TVSu-357</t>
  </si>
  <si>
    <t>TVSu-358</t>
  </si>
  <si>
    <t>TVSu-359</t>
  </si>
  <si>
    <t>TVSu-361</t>
  </si>
  <si>
    <t>TVSu-362</t>
  </si>
  <si>
    <t>TVSu-364</t>
  </si>
  <si>
    <t>TVSu-368</t>
  </si>
  <si>
    <t>TVSu-371</t>
  </si>
  <si>
    <t>TVSu-373</t>
  </si>
  <si>
    <t>TVSu-374</t>
  </si>
  <si>
    <t>TVSu-376</t>
  </si>
  <si>
    <t>TVSu-378</t>
  </si>
  <si>
    <t>TVSu-379</t>
  </si>
  <si>
    <t>TVSu-386</t>
  </si>
  <si>
    <t>TVSu-388</t>
  </si>
  <si>
    <t>TVSu-395</t>
  </si>
  <si>
    <t>TVSu-396</t>
  </si>
  <si>
    <t>TVSu-397</t>
  </si>
  <si>
    <t>TVSu-398</t>
  </si>
  <si>
    <t>TVSu-404</t>
  </si>
  <si>
    <t>TVSu-409</t>
  </si>
  <si>
    <t>TVSu-410</t>
  </si>
  <si>
    <t>TVSu-411</t>
  </si>
  <si>
    <t>TVSu-416</t>
  </si>
  <si>
    <t>TVSu-418</t>
  </si>
  <si>
    <t>TVSu-421</t>
  </si>
  <si>
    <t>TVSu-425</t>
  </si>
  <si>
    <t>TVSu-431</t>
  </si>
  <si>
    <t>TVSu-434</t>
  </si>
  <si>
    <t>TVSu-436</t>
  </si>
  <si>
    <t>TVSu-438</t>
  </si>
  <si>
    <t>TVSu-441</t>
  </si>
  <si>
    <t>TVSu-442</t>
  </si>
  <si>
    <t>TVSu-445</t>
  </si>
  <si>
    <t>TVSu-447</t>
  </si>
  <si>
    <t>TVSu-448</t>
  </si>
  <si>
    <t>TVSu-454</t>
  </si>
  <si>
    <t>TVSu-460</t>
  </si>
  <si>
    <t>TVSu-461</t>
  </si>
  <si>
    <t>TVSu-462</t>
  </si>
  <si>
    <t>TVSu-463</t>
  </si>
  <si>
    <t>TVSu-464</t>
  </si>
  <si>
    <t>TVSu-466</t>
  </si>
  <si>
    <t>TVSu-467</t>
  </si>
  <si>
    <t>TVSu-474</t>
  </si>
  <si>
    <t>TVSu-476</t>
  </si>
  <si>
    <t>TVSu-479</t>
  </si>
  <si>
    <t>TVSu-482</t>
  </si>
  <si>
    <t>TVSu-484</t>
  </si>
  <si>
    <t>TVSu-486</t>
  </si>
  <si>
    <t>TVSu-487</t>
  </si>
  <si>
    <t>TVSu-488</t>
  </si>
  <si>
    <t>TVSu-491</t>
  </si>
  <si>
    <t>TVSu-492</t>
  </si>
  <si>
    <t>TVSu-501</t>
  </si>
  <si>
    <t>TVSu-504</t>
  </si>
  <si>
    <t>TVSu-506</t>
  </si>
  <si>
    <t>TVSu-507</t>
  </si>
  <si>
    <t>TVSu-508</t>
  </si>
  <si>
    <t>TVSu-509</t>
  </si>
  <si>
    <t>TVSu-510</t>
  </si>
  <si>
    <t>TVSu-516</t>
  </si>
  <si>
    <t>TVSu-517</t>
  </si>
  <si>
    <t>TVSu-521</t>
  </si>
  <si>
    <t>TVSu-522</t>
  </si>
  <si>
    <t>TVSu-523</t>
  </si>
  <si>
    <t>TVSu-528</t>
  </si>
  <si>
    <t>TVSu-529</t>
  </si>
  <si>
    <t>TVSu-534</t>
  </si>
  <si>
    <t>TVSu-535</t>
  </si>
  <si>
    <t>TVSu-538</t>
  </si>
  <si>
    <t>TVSu-543</t>
  </si>
  <si>
    <t>TVSu-547</t>
  </si>
  <si>
    <t>TVSu-553</t>
  </si>
  <si>
    <t>TVSu-554</t>
  </si>
  <si>
    <t>TVSu-569</t>
  </si>
  <si>
    <t>TVSu-581</t>
  </si>
  <si>
    <t>TVSu-593</t>
  </si>
  <si>
    <t>TVSu-595</t>
  </si>
  <si>
    <t>TVSu-600</t>
  </si>
  <si>
    <t>TVSu-618</t>
  </si>
  <si>
    <t>TVSu-636</t>
  </si>
  <si>
    <t>TVSu-645</t>
  </si>
  <si>
    <t>TVSu-648</t>
  </si>
  <si>
    <t>TVSu-652</t>
  </si>
  <si>
    <t>TVSu-653</t>
  </si>
  <si>
    <t>TVSu-658</t>
  </si>
  <si>
    <t>TVSu-671</t>
  </si>
  <si>
    <t>TVSu-673</t>
  </si>
  <si>
    <t>TVSu-677</t>
  </si>
  <si>
    <t>TVSu-681</t>
  </si>
  <si>
    <t>TVSu-682</t>
  </si>
  <si>
    <t>TVSu-683</t>
  </si>
  <si>
    <t>TVSu-686</t>
  </si>
  <si>
    <t>TVSu-687</t>
  </si>
  <si>
    <t>TVSu-688</t>
  </si>
  <si>
    <t>TVSu-689</t>
  </si>
  <si>
    <t>TVSu-690</t>
  </si>
  <si>
    <t>TVSu-691</t>
  </si>
  <si>
    <t>TVSu-692</t>
  </si>
  <si>
    <t>TVSu-693</t>
  </si>
  <si>
    <t>TVSu-699</t>
  </si>
  <si>
    <t>TVSu-702</t>
  </si>
  <si>
    <t>TVSu-709</t>
  </si>
  <si>
    <t>TVSu-711</t>
  </si>
  <si>
    <t>TVSu-716</t>
  </si>
  <si>
    <t>TVSu-725</t>
  </si>
  <si>
    <t>TVSu-731</t>
  </si>
  <si>
    <t>TVSu-736</t>
  </si>
  <si>
    <t>TVSu-738</t>
  </si>
  <si>
    <t>TVSu-745</t>
  </si>
  <si>
    <t>TVSu-750</t>
  </si>
  <si>
    <t>TVSu-751</t>
  </si>
  <si>
    <t>TVSu-754</t>
  </si>
  <si>
    <t>TVSu-755</t>
  </si>
  <si>
    <t>TVSu-757</t>
  </si>
  <si>
    <t>TVSu-758</t>
  </si>
  <si>
    <t>TVSu-759</t>
  </si>
  <si>
    <t>TVSu-760</t>
  </si>
  <si>
    <t>TVSu-764</t>
  </si>
  <si>
    <t>TVSu-765</t>
  </si>
  <si>
    <t>TVSu-770</t>
  </si>
  <si>
    <t>TVSu-774</t>
  </si>
  <si>
    <t>TVSu-781</t>
  </si>
  <si>
    <t>TVSu-783</t>
  </si>
  <si>
    <t>TVSu-864</t>
  </si>
  <si>
    <t>TVSu-865</t>
  </si>
  <si>
    <t>TVSu-870</t>
  </si>
  <si>
    <t>TVSu-873</t>
  </si>
  <si>
    <t>TVSu-879</t>
  </si>
  <si>
    <t>TVSu-881</t>
  </si>
  <si>
    <t>TVSu-883</t>
  </si>
  <si>
    <t>TVSu-889</t>
  </si>
  <si>
    <t>TVSu-892</t>
  </si>
  <si>
    <t>TVSu-895</t>
  </si>
  <si>
    <t>TVSu-913</t>
  </si>
  <si>
    <t>TVSu-918</t>
  </si>
  <si>
    <t>TVSu-920</t>
  </si>
  <si>
    <t>TVSu-921</t>
  </si>
  <si>
    <t>TVSu-922</t>
  </si>
  <si>
    <t>TVSu-933</t>
  </si>
  <si>
    <t>TVSu-934</t>
  </si>
  <si>
    <t>TVSu-941</t>
  </si>
  <si>
    <t>TVSu-942</t>
  </si>
  <si>
    <t>TVSu-949</t>
  </si>
  <si>
    <t>TVSu-964</t>
  </si>
  <si>
    <t>TVSu-966</t>
  </si>
  <si>
    <t>TVSu-981</t>
  </si>
  <si>
    <t>TVSu-988</t>
  </si>
  <si>
    <t>TVSu-999</t>
  </si>
  <si>
    <t>TVSu-1011</t>
  </si>
  <si>
    <t>TVSu-1014</t>
  </si>
  <si>
    <t>TVSu-1015</t>
  </si>
  <si>
    <t>TVSu-1018</t>
  </si>
  <si>
    <t>TVSu-1022</t>
  </si>
  <si>
    <t>TVSu-1023</t>
  </si>
  <si>
    <t>TVSu-1034</t>
  </si>
  <si>
    <t>TVSu-1050</t>
  </si>
  <si>
    <t>TVSu-1051</t>
  </si>
  <si>
    <t>TVSu-1078</t>
  </si>
  <si>
    <t>TVSu-1079</t>
  </si>
  <si>
    <t>TVSu-1080</t>
  </si>
  <si>
    <t>TVSu-1081</t>
  </si>
  <si>
    <t>TVSu-1085</t>
  </si>
  <si>
    <t>TVSu-1091</t>
  </si>
  <si>
    <t>TVSu-1092</t>
  </si>
  <si>
    <t>TVSu-1099</t>
  </si>
  <si>
    <t>TVSu-1108</t>
  </si>
  <si>
    <t>TVSu-1110</t>
  </si>
  <si>
    <t>TVSu-1112</t>
  </si>
  <si>
    <t>TVSu-1126</t>
  </si>
  <si>
    <t>TVSu-1130</t>
  </si>
  <si>
    <t>TVSu-1162</t>
  </si>
  <si>
    <t>TVSu-1164</t>
  </si>
  <si>
    <t>TVSu-1166</t>
  </si>
  <si>
    <t>TVSu-1168</t>
  </si>
  <si>
    <t>TVSu-1177</t>
  </si>
  <si>
    <t>TVSu-1180</t>
  </si>
  <si>
    <t>TVSu-1188</t>
  </si>
  <si>
    <t>TVSu-1191</t>
  </si>
  <si>
    <t>TVSu-1199</t>
  </si>
  <si>
    <t>TVSu-1203</t>
  </si>
  <si>
    <t>TVSu-1205</t>
  </si>
  <si>
    <t>TVSu-1215</t>
  </si>
  <si>
    <t>TVSu-1217</t>
  </si>
  <si>
    <t>TVSu-1218</t>
  </si>
  <si>
    <t>TVSu-1221</t>
  </si>
  <si>
    <t>TVSu-1229</t>
  </si>
  <si>
    <t>TVSu-1231</t>
  </si>
  <si>
    <t>TVSu-1232</t>
  </si>
  <si>
    <t>TVSu-1235</t>
  </si>
  <si>
    <t>TVSu-1236</t>
  </si>
  <si>
    <t>TVSu-1244</t>
  </si>
  <si>
    <t>TVSu-1251</t>
  </si>
  <si>
    <t>TVSu-1254</t>
  </si>
  <si>
    <t>TVSu-1256</t>
  </si>
  <si>
    <t>TVSu-1258</t>
  </si>
  <si>
    <t>TVSu-1260</t>
  </si>
  <si>
    <t>TVSu-1262</t>
  </si>
  <si>
    <t>TVSu-1278</t>
  </si>
  <si>
    <t>TVSu-1280</t>
  </si>
  <si>
    <t>TVSu-1284</t>
  </si>
  <si>
    <t>TVSu-1285</t>
  </si>
  <si>
    <t>TVSu-1289</t>
  </si>
  <si>
    <t>TVSu-1290</t>
  </si>
  <si>
    <t>TVSu-1308</t>
  </si>
  <si>
    <t>TVSu-1309</t>
  </si>
  <si>
    <t>TVSu-1355</t>
  </si>
  <si>
    <t>TVSu-1373</t>
  </si>
  <si>
    <t>TVSu-1482</t>
  </si>
  <si>
    <t>TVSu-1533</t>
  </si>
  <si>
    <t>TVSu-1580</t>
  </si>
  <si>
    <t>TVSu-1588</t>
  </si>
  <si>
    <t>TVSu-1643</t>
  </si>
  <si>
    <t>TVSu-1646</t>
  </si>
  <si>
    <t>TVSu-1653</t>
  </si>
  <si>
    <t>TVSu-1656</t>
  </si>
  <si>
    <t>TVSu-1697</t>
  </si>
  <si>
    <t>TVSu-1727</t>
  </si>
  <si>
    <t>TVSu-1732</t>
  </si>
  <si>
    <t>TVSu-1744</t>
  </si>
  <si>
    <t>TVSu-1791</t>
  </si>
  <si>
    <t>TVSu-1813</t>
  </si>
  <si>
    <t>TVSu-1816</t>
  </si>
  <si>
    <t>TVSu-1820</t>
  </si>
  <si>
    <t>TVSu-1822</t>
  </si>
  <si>
    <t>TVSu-1824</t>
  </si>
  <si>
    <t>TVSu-1827</t>
  </si>
  <si>
    <t>TVSu-1831</t>
  </si>
  <si>
    <t>TVSu-1834</t>
  </si>
  <si>
    <t>TVSu-1860</t>
  </si>
  <si>
    <t>TVSu-1865</t>
  </si>
  <si>
    <t>TVSu-1870</t>
  </si>
  <si>
    <t>TVSu-1872</t>
  </si>
  <si>
    <t>TVSu-1881</t>
  </si>
  <si>
    <t>TVSu-1901</t>
  </si>
  <si>
    <t>TVSu-1991</t>
  </si>
  <si>
    <t>TVSu-2017</t>
  </si>
  <si>
    <t>TVSu-2088</t>
  </si>
  <si>
    <t>TVSu-2089</t>
  </si>
  <si>
    <t>TVSu-2090</t>
  </si>
  <si>
    <t>TVSu-2091</t>
  </si>
  <si>
    <t>TVSu-2092</t>
  </si>
  <si>
    <t>TVSu-2093</t>
  </si>
  <si>
    <t>TVSu-2094</t>
  </si>
  <si>
    <t>TVSu-2095</t>
  </si>
  <si>
    <t>TVSu-2096</t>
  </si>
  <si>
    <t>TVSu-2097</t>
  </si>
  <si>
    <t>TVSu-2098</t>
  </si>
  <si>
    <t>TVSu-2099</t>
  </si>
  <si>
    <t>TVSu-2100</t>
  </si>
  <si>
    <t>TVSu-2101</t>
  </si>
  <si>
    <t>TVSu-2102</t>
  </si>
  <si>
    <t>TVSu-2103</t>
  </si>
  <si>
    <t>TVSu-2104</t>
  </si>
  <si>
    <t>TVSu-2105</t>
  </si>
  <si>
    <t>TVSu-2106</t>
  </si>
  <si>
    <t>TVSu-2107</t>
  </si>
  <si>
    <t>TVSu-2108</t>
  </si>
  <si>
    <t>TVSu-2109</t>
  </si>
  <si>
    <t>TVSu-2110</t>
  </si>
  <si>
    <t>TVSu-2112</t>
  </si>
  <si>
    <t>TVSu-2113</t>
  </si>
  <si>
    <t>TVSu-2114</t>
  </si>
  <si>
    <t xml:space="preserve">Line </t>
  </si>
  <si>
    <t>IITA</t>
  </si>
  <si>
    <t>TVSu-742</t>
  </si>
  <si>
    <t xml:space="preserve">UB-BD BD </t>
  </si>
  <si>
    <t>UB-CR-1 CIAROG-1</t>
  </si>
  <si>
    <t>UB-CR-2 CIAROG-2</t>
  </si>
  <si>
    <t>UB-CJ-1 CIKIJING-1</t>
  </si>
  <si>
    <t xml:space="preserve">UB-CK-11 CIKUR-1.1 </t>
  </si>
  <si>
    <t>UB-CK-21 CIKUR-2.1</t>
  </si>
  <si>
    <t xml:space="preserve">UB-CK-23 CIKUR-2.3 </t>
  </si>
  <si>
    <t>UB-CK-32 CIKUR-3.2</t>
  </si>
  <si>
    <t xml:space="preserve">UB-CK-33 CIKUR-3.3 </t>
  </si>
  <si>
    <t>UB-CK-2D1 CIKUR-2D(1)</t>
  </si>
  <si>
    <t>UB-GB-12 GOBRAS-1.2</t>
  </si>
  <si>
    <t>UB-GB-21 GOBRAS-2.1</t>
  </si>
  <si>
    <t xml:space="preserve">UB-GB-22 GOBRAS-2.2 </t>
  </si>
  <si>
    <t>UB-GB-4K GOBRAS-2.2(3)</t>
  </si>
  <si>
    <t>UB-GB-23 GOBRAS-2.3</t>
  </si>
  <si>
    <t>UB-GB-311 GOBRAS-3.1(1)</t>
  </si>
  <si>
    <t>UB-GB-321 GOBRAS-3.2(1)</t>
  </si>
  <si>
    <t>UB-GB-42 GOBRAS-4.2</t>
  </si>
  <si>
    <t xml:space="preserve">UB-G4H GOBRAS-4H </t>
  </si>
  <si>
    <t xml:space="preserve">UB-GB-52 GOBRAS-5.2 </t>
  </si>
  <si>
    <t xml:space="preserve">UB-GCT GOBRAS-COKLAT-TUA </t>
  </si>
  <si>
    <t xml:space="preserve">UB-RJ-21 RAJAP-2.1 </t>
  </si>
  <si>
    <t xml:space="preserve">UB-RJ-32 RAJAP-3.2 </t>
  </si>
  <si>
    <t xml:space="preserve">UB-RJ-41 RAJAP-4.1 </t>
  </si>
  <si>
    <t xml:space="preserve">UB-RJ-421 RAJAP-4.2(1) </t>
  </si>
  <si>
    <t xml:space="preserve">UB-SR-2 SITURAJA-2 </t>
  </si>
  <si>
    <t xml:space="preserve">UB-SJ-1 SUKARAJA-1 </t>
  </si>
  <si>
    <t xml:space="preserve">UB-SJ-2 SUKARAJA-2 </t>
  </si>
  <si>
    <t xml:space="preserve">UB-U-1 URUG-1 </t>
  </si>
  <si>
    <t xml:space="preserve">UB-U-21 URUG-2(1) </t>
  </si>
  <si>
    <t>IPB-Bam1</t>
  </si>
  <si>
    <t>IPB-Bam2</t>
  </si>
  <si>
    <t>IPB-Bam3</t>
  </si>
  <si>
    <t>IPB-Bam4</t>
  </si>
  <si>
    <t>IPB-Bam5</t>
  </si>
  <si>
    <t>IPB-Bam6</t>
  </si>
  <si>
    <t>IPB-Bam7</t>
  </si>
  <si>
    <t>IPB-Bam8</t>
  </si>
  <si>
    <t>IPB-Bam9</t>
  </si>
  <si>
    <t>IPB-Bam10</t>
  </si>
  <si>
    <t>P7 GC-(32105)</t>
  </si>
  <si>
    <t>P8 GCL-(31105)</t>
  </si>
  <si>
    <t>P21 GC-(34107)</t>
  </si>
  <si>
    <t>P22 GCL-(11105)</t>
  </si>
  <si>
    <t>P36 GC-(35107)</t>
  </si>
  <si>
    <t>P37 GCL-(13105)</t>
  </si>
  <si>
    <t>P10 BH-(17107)</t>
  </si>
  <si>
    <t>P11 BC-(14105)</t>
  </si>
  <si>
    <t>P12 BCL-(33107)</t>
  </si>
  <si>
    <t>P13 BCGC-(12107)</t>
  </si>
  <si>
    <t>P14 BCGC-(23107)</t>
  </si>
  <si>
    <t>P25 BC-(12105)</t>
  </si>
  <si>
    <t>P28 BCGC(13107)</t>
  </si>
  <si>
    <t>P39 BH-(16107)</t>
  </si>
  <si>
    <t>P40 BC-(31107)</t>
  </si>
  <si>
    <t>P43 BCGC-(11107)</t>
  </si>
  <si>
    <t>(1) 81Acc385TZA</t>
  </si>
  <si>
    <t>(2) 84Acc696ZMB</t>
  </si>
  <si>
    <t>(3) 88AHM753NAM</t>
  </si>
  <si>
    <t>(4) 109BWA1BWA</t>
  </si>
  <si>
    <t>(5) 3Acc9NGA -B</t>
  </si>
  <si>
    <t>(7) 6Acc289BEN-C</t>
  </si>
  <si>
    <t>(9) 20Acc118CIV-B</t>
  </si>
  <si>
    <t>(10) 30Acc476CMR-B</t>
  </si>
  <si>
    <t>(11) 33Acc484CMR-A</t>
  </si>
  <si>
    <t>(12) 40Acc536CMR-A</t>
  </si>
  <si>
    <t>(14) 48Acc790KEN-B</t>
  </si>
  <si>
    <t>(15) 49Acc793KEN-A</t>
  </si>
  <si>
    <t>(16) 50Acc792ZWE-B</t>
  </si>
  <si>
    <t>(17) 56Acc89MLI-C</t>
  </si>
  <si>
    <t>(18) 60Acc32NGA-A</t>
  </si>
  <si>
    <t>(21) 74Acc335NGA-C</t>
  </si>
  <si>
    <t>(22) 76Acc390SDN-C</t>
  </si>
  <si>
    <t>(23) 85Acc754ZMB-A</t>
  </si>
  <si>
    <t>(24) 91UNIS-RSWA-B</t>
  </si>
  <si>
    <t>(25) 92AHM968NAM-C</t>
  </si>
  <si>
    <t>(26) 99SB4-2NAM-A</t>
  </si>
  <si>
    <t>(27) 100SB16-ANAM-C</t>
  </si>
  <si>
    <t>(28) 104S-1913NAM-B</t>
  </si>
  <si>
    <t>(30) 113BWA5BWA-B</t>
  </si>
  <si>
    <t>(32) 118?RamayanaIND?</t>
  </si>
  <si>
    <t>(34) Ankpa4-13</t>
  </si>
  <si>
    <t>(35) DipC-13</t>
  </si>
  <si>
    <t>(36) Dod R-13</t>
  </si>
  <si>
    <t>(37) Getso-13</t>
  </si>
  <si>
    <t>(38) Gresik-13</t>
  </si>
  <si>
    <t>(39) IITA 686-13</t>
  </si>
  <si>
    <t>(40) LunT-13</t>
  </si>
  <si>
    <t>(41) S19-13</t>
  </si>
  <si>
    <t>(42) Tiga Nicaru-13</t>
  </si>
  <si>
    <t>(43) Uniswa -Red Pod-13</t>
  </si>
  <si>
    <t>(53) Thai-Landrace-1</t>
  </si>
  <si>
    <t>(55) Songkhla-1</t>
  </si>
  <si>
    <t>(56) TVsu89</t>
  </si>
  <si>
    <t>(57) Malaysia-Red</t>
  </si>
  <si>
    <t>(58) Malaysia-Cream</t>
  </si>
  <si>
    <t xml:space="preserve">M14_UB-CJ-1 </t>
  </si>
  <si>
    <t xml:space="preserve">M14_UB-GB-12 </t>
  </si>
  <si>
    <t xml:space="preserve">M14_UB-CK-23 </t>
  </si>
  <si>
    <t xml:space="preserve">M14_UB-GB-21 </t>
  </si>
  <si>
    <t xml:space="preserve">M14_UB-GCT </t>
  </si>
  <si>
    <t xml:space="preserve">M14_UB-RJ-21 </t>
  </si>
  <si>
    <t xml:space="preserve">M14_UB-SJ-2 </t>
  </si>
  <si>
    <t>M14_IPB Bam3</t>
  </si>
  <si>
    <t>M14_IPB Bam4</t>
  </si>
  <si>
    <t>M14_IPB Bam7</t>
  </si>
  <si>
    <t>M14_Endah-P5</t>
  </si>
  <si>
    <t>M14_Endah-P6</t>
  </si>
  <si>
    <t>M14_Endah-P7</t>
  </si>
  <si>
    <t>M14_Endah-P8</t>
  </si>
  <si>
    <t>M14_Endah-P9</t>
  </si>
  <si>
    <t>M14_Endah-P20</t>
  </si>
  <si>
    <t>M14_Endah-P21</t>
  </si>
  <si>
    <t>M14_Endah-P22</t>
  </si>
  <si>
    <t>M14_Endah-P23</t>
  </si>
  <si>
    <t>M14_Endah-P35</t>
  </si>
  <si>
    <t>M14_Endah-P37</t>
  </si>
  <si>
    <t>M14_Endah-P38</t>
  </si>
  <si>
    <t>M14_Endah-P10</t>
  </si>
  <si>
    <t>M14_Endah-P11</t>
  </si>
  <si>
    <t>M14_Endah-P12</t>
  </si>
  <si>
    <t>M14_Endah-P13</t>
  </si>
  <si>
    <t>M14_Endah-P14</t>
  </si>
  <si>
    <t>M14_Endah-P25</t>
  </si>
  <si>
    <t>M14_Endah-P28</t>
  </si>
  <si>
    <t>M14_Endah-P39</t>
  </si>
  <si>
    <t>M14_Endah-P40</t>
  </si>
  <si>
    <t>M14_20Acc118CIV-B</t>
  </si>
  <si>
    <t>M14_60Acc 32NGA-A</t>
  </si>
  <si>
    <t>M14_113BWA5BWA</t>
  </si>
  <si>
    <t>P14_VSSP6</t>
  </si>
  <si>
    <t>P14_Ramayana</t>
  </si>
  <si>
    <t xml:space="preserve">M14_UB-U-1 </t>
  </si>
  <si>
    <t>M14_Song1</t>
  </si>
  <si>
    <t>Ankpa4</t>
  </si>
  <si>
    <t>Getso</t>
  </si>
  <si>
    <t>Gresik</t>
  </si>
  <si>
    <t>LunT</t>
  </si>
  <si>
    <t>Tiga Necuru</t>
  </si>
  <si>
    <t>IITA-686</t>
  </si>
  <si>
    <t>DipC</t>
  </si>
  <si>
    <t>Kano 2</t>
  </si>
  <si>
    <t>Unisaw</t>
  </si>
  <si>
    <t>Unisaw Red</t>
  </si>
  <si>
    <t>Dodr</t>
  </si>
  <si>
    <t>S19-3</t>
  </si>
  <si>
    <t>Kano 3</t>
  </si>
  <si>
    <t>Line (Pop)</t>
  </si>
  <si>
    <t>Marker Assay</t>
  </si>
  <si>
    <t>TD2</t>
  </si>
  <si>
    <t>TD3</t>
  </si>
  <si>
    <t>TD4</t>
  </si>
  <si>
    <t>TD5</t>
  </si>
  <si>
    <t>TD6</t>
  </si>
  <si>
    <t>TD7</t>
  </si>
  <si>
    <t>TD8</t>
  </si>
  <si>
    <t>TD9</t>
  </si>
  <si>
    <t>TD10</t>
  </si>
  <si>
    <t>TD11</t>
  </si>
  <si>
    <t>TD13</t>
  </si>
  <si>
    <t>TD14</t>
  </si>
  <si>
    <t>TD17</t>
  </si>
  <si>
    <t>TD20</t>
  </si>
  <si>
    <t>TD21</t>
  </si>
  <si>
    <t>TD22</t>
  </si>
  <si>
    <t>TD23</t>
  </si>
  <si>
    <t>TD24</t>
  </si>
  <si>
    <t>TD25</t>
  </si>
  <si>
    <t>TD26</t>
  </si>
  <si>
    <t>TD27</t>
  </si>
  <si>
    <t>TD34</t>
  </si>
  <si>
    <t>TD35</t>
  </si>
  <si>
    <t>TD36</t>
  </si>
  <si>
    <t>TD37</t>
  </si>
  <si>
    <t>TD38</t>
  </si>
  <si>
    <t>TD39</t>
  </si>
  <si>
    <t>TD40</t>
  </si>
  <si>
    <t>TD41</t>
  </si>
  <si>
    <t>TD43</t>
  </si>
  <si>
    <t>TD44</t>
  </si>
  <si>
    <t>TD45</t>
  </si>
  <si>
    <t>TD46</t>
  </si>
  <si>
    <t>TD47</t>
  </si>
  <si>
    <t>TD48</t>
  </si>
  <si>
    <t>TD49</t>
  </si>
  <si>
    <t>TD50</t>
  </si>
  <si>
    <t>TD51</t>
  </si>
  <si>
    <t>TD52</t>
  </si>
  <si>
    <t>TD53</t>
  </si>
  <si>
    <t>TD56</t>
  </si>
  <si>
    <t>TD57</t>
  </si>
  <si>
    <t>TD58</t>
  </si>
  <si>
    <t>TD59</t>
  </si>
  <si>
    <t>TD60</t>
  </si>
  <si>
    <t>TD64</t>
  </si>
  <si>
    <t>TD74</t>
  </si>
  <si>
    <t>TD75</t>
  </si>
  <si>
    <t>TD76</t>
  </si>
  <si>
    <t>TD77</t>
  </si>
  <si>
    <t>TD82</t>
  </si>
  <si>
    <t>TD83</t>
  </si>
  <si>
    <t>TD84</t>
  </si>
  <si>
    <t>TD85</t>
  </si>
  <si>
    <t>TD86</t>
  </si>
  <si>
    <t>TD89</t>
  </si>
  <si>
    <t>TD92</t>
  </si>
  <si>
    <t>TD94</t>
  </si>
  <si>
    <t>TD102</t>
  </si>
  <si>
    <t>TD103</t>
  </si>
  <si>
    <t>TD104</t>
  </si>
  <si>
    <t>TD105</t>
  </si>
  <si>
    <t>TD106</t>
  </si>
  <si>
    <t>TD108</t>
  </si>
  <si>
    <t>TD109</t>
  </si>
  <si>
    <t>TD111</t>
  </si>
  <si>
    <t>TD112</t>
  </si>
  <si>
    <t>TD114</t>
  </si>
  <si>
    <t>TD115</t>
  </si>
  <si>
    <t>TD116</t>
  </si>
  <si>
    <t>TD117</t>
  </si>
  <si>
    <t>F3</t>
  </si>
  <si>
    <t>SNP-DBg18-3349</t>
  </si>
  <si>
    <t>IL1</t>
  </si>
  <si>
    <t>IL10</t>
  </si>
  <si>
    <t>IL100</t>
  </si>
  <si>
    <t>IL101</t>
  </si>
  <si>
    <t>IL102</t>
  </si>
  <si>
    <t>IL103</t>
  </si>
  <si>
    <t>IL104</t>
  </si>
  <si>
    <t>IL105</t>
  </si>
  <si>
    <t>IL106</t>
  </si>
  <si>
    <t>IL107</t>
  </si>
  <si>
    <t>IL108</t>
  </si>
  <si>
    <t>IL109</t>
  </si>
  <si>
    <t>IL11</t>
  </si>
  <si>
    <t>IL110</t>
  </si>
  <si>
    <t>IL111</t>
  </si>
  <si>
    <t>IL112</t>
  </si>
  <si>
    <t>IL113</t>
  </si>
  <si>
    <t>IL114</t>
  </si>
  <si>
    <t>IL115</t>
  </si>
  <si>
    <t>IL116</t>
  </si>
  <si>
    <t>IL117</t>
  </si>
  <si>
    <t>IL118</t>
  </si>
  <si>
    <t>IL119</t>
  </si>
  <si>
    <t>IL12</t>
  </si>
  <si>
    <t>IL120</t>
  </si>
  <si>
    <t>IL121</t>
  </si>
  <si>
    <t>IL123</t>
  </si>
  <si>
    <t>IL124</t>
  </si>
  <si>
    <t>IL125</t>
  </si>
  <si>
    <t>IL126</t>
  </si>
  <si>
    <t>IL127</t>
  </si>
  <si>
    <t>IL128</t>
  </si>
  <si>
    <t>IL129</t>
  </si>
  <si>
    <t>IL13</t>
  </si>
  <si>
    <t>IL131</t>
  </si>
  <si>
    <t>IL132</t>
  </si>
  <si>
    <t>IL133</t>
  </si>
  <si>
    <t>IL134</t>
  </si>
  <si>
    <t>IL135</t>
  </si>
  <si>
    <t>IL136</t>
  </si>
  <si>
    <t>IL137</t>
  </si>
  <si>
    <t>IL138</t>
  </si>
  <si>
    <t>IL139</t>
  </si>
  <si>
    <t>IL14</t>
  </si>
  <si>
    <t>IL140</t>
  </si>
  <si>
    <t>IL141</t>
  </si>
  <si>
    <t>IL142</t>
  </si>
  <si>
    <t>IL143</t>
  </si>
  <si>
    <t>IL144</t>
  </si>
  <si>
    <t>IL146</t>
  </si>
  <si>
    <t>IL147</t>
  </si>
  <si>
    <t>IL148</t>
  </si>
  <si>
    <t>IL149</t>
  </si>
  <si>
    <t>IL15</t>
  </si>
  <si>
    <t>IL151</t>
  </si>
  <si>
    <t>IL152</t>
  </si>
  <si>
    <t>IL153</t>
  </si>
  <si>
    <t>IL154</t>
  </si>
  <si>
    <t>IL155</t>
  </si>
  <si>
    <t>IL156</t>
  </si>
  <si>
    <t>IL157</t>
  </si>
  <si>
    <t>IL16</t>
  </si>
  <si>
    <t>IL160</t>
  </si>
  <si>
    <t>IL162</t>
  </si>
  <si>
    <t>IL163</t>
  </si>
  <si>
    <t>IL164</t>
  </si>
  <si>
    <t>IL168</t>
  </si>
  <si>
    <t>IL169</t>
  </si>
  <si>
    <t>IL17</t>
  </si>
  <si>
    <t>IL170</t>
  </si>
  <si>
    <t>IL171</t>
  </si>
  <si>
    <t>IL173</t>
  </si>
  <si>
    <t>IL174</t>
  </si>
  <si>
    <t>IL177</t>
  </si>
  <si>
    <t>IL18</t>
  </si>
  <si>
    <t>IL180</t>
  </si>
  <si>
    <t>IL183</t>
  </si>
  <si>
    <t>IL184</t>
  </si>
  <si>
    <t>IL185</t>
  </si>
  <si>
    <t>IL186</t>
  </si>
  <si>
    <t>IL187</t>
  </si>
  <si>
    <t>IL188</t>
  </si>
  <si>
    <t>IL189</t>
  </si>
  <si>
    <t>IL19</t>
  </si>
  <si>
    <t>IL192</t>
  </si>
  <si>
    <t>IL193</t>
  </si>
  <si>
    <t>IL194</t>
  </si>
  <si>
    <t>IL195</t>
  </si>
  <si>
    <t>IL196</t>
  </si>
  <si>
    <t>IL198</t>
  </si>
  <si>
    <t>IL199</t>
  </si>
  <si>
    <t>IL2</t>
  </si>
  <si>
    <t>IL20</t>
  </si>
  <si>
    <t>IL203</t>
  </si>
  <si>
    <t>IL204</t>
  </si>
  <si>
    <t>IL205</t>
  </si>
  <si>
    <t>IL206</t>
  </si>
  <si>
    <t>IL208</t>
  </si>
  <si>
    <t>IL209</t>
  </si>
  <si>
    <t>IL21</t>
  </si>
  <si>
    <t>IL210</t>
  </si>
  <si>
    <t>IL211</t>
  </si>
  <si>
    <t>IL213</t>
  </si>
  <si>
    <t>IL219</t>
  </si>
  <si>
    <t>IL22</t>
  </si>
  <si>
    <t>IL220</t>
  </si>
  <si>
    <t>IL221</t>
  </si>
  <si>
    <t>IL223</t>
  </si>
  <si>
    <t>IL226</t>
  </si>
  <si>
    <t>IL227</t>
  </si>
  <si>
    <t>IL229</t>
  </si>
  <si>
    <t>IL23</t>
  </si>
  <si>
    <t>IL231</t>
  </si>
  <si>
    <t>IL234</t>
  </si>
  <si>
    <t>IL235</t>
  </si>
  <si>
    <t>IL24</t>
  </si>
  <si>
    <t>IL240</t>
  </si>
  <si>
    <t>IL241</t>
  </si>
  <si>
    <t>IL25</t>
  </si>
  <si>
    <t>IL26</t>
  </si>
  <si>
    <t>IL27</t>
  </si>
  <si>
    <t>IL28</t>
  </si>
  <si>
    <t>IL3</t>
  </si>
  <si>
    <t>IL30</t>
  </si>
  <si>
    <t>IL31</t>
  </si>
  <si>
    <t>IL32</t>
  </si>
  <si>
    <t>IL33</t>
  </si>
  <si>
    <t>IL34</t>
  </si>
  <si>
    <t>IL35</t>
  </si>
  <si>
    <t>IL36</t>
  </si>
  <si>
    <t>IL37</t>
  </si>
  <si>
    <t>IL38</t>
  </si>
  <si>
    <t>IL39</t>
  </si>
  <si>
    <t>IL4</t>
  </si>
  <si>
    <t>IL40</t>
  </si>
  <si>
    <t>IL41</t>
  </si>
  <si>
    <t>IL42</t>
  </si>
  <si>
    <t>IL43</t>
  </si>
  <si>
    <t>IL44</t>
  </si>
  <si>
    <t>IL45</t>
  </si>
  <si>
    <t>IL46</t>
  </si>
  <si>
    <t>IL47</t>
  </si>
  <si>
    <t>IL49</t>
  </si>
  <si>
    <t>IL5</t>
  </si>
  <si>
    <t>IL50</t>
  </si>
  <si>
    <t>IL51</t>
  </si>
  <si>
    <t>IL52</t>
  </si>
  <si>
    <t>IL53</t>
  </si>
  <si>
    <t>IL54</t>
  </si>
  <si>
    <t>IL55</t>
  </si>
  <si>
    <t>IL56</t>
  </si>
  <si>
    <t>IL57</t>
  </si>
  <si>
    <t>IL59</t>
  </si>
  <si>
    <t>IL6</t>
  </si>
  <si>
    <t>IL60</t>
  </si>
  <si>
    <t>IL61</t>
  </si>
  <si>
    <t>IL63</t>
  </si>
  <si>
    <t>IL64</t>
  </si>
  <si>
    <t>IL66</t>
  </si>
  <si>
    <t>IL68</t>
  </si>
  <si>
    <t>IL69</t>
  </si>
  <si>
    <t>IL7</t>
  </si>
  <si>
    <t>IL70</t>
  </si>
  <si>
    <t>IL72</t>
  </si>
  <si>
    <t>IL76</t>
  </si>
  <si>
    <t>IL8</t>
  </si>
  <si>
    <t>IL81</t>
  </si>
  <si>
    <t>IL82</t>
  </si>
  <si>
    <t>IL83</t>
  </si>
  <si>
    <t>IL84</t>
  </si>
  <si>
    <t>IL85</t>
  </si>
  <si>
    <t>IL86</t>
  </si>
  <si>
    <t>IL87</t>
  </si>
  <si>
    <t>IL88</t>
  </si>
  <si>
    <t>IL89</t>
  </si>
  <si>
    <t>IL9</t>
  </si>
  <si>
    <t>IL91</t>
  </si>
  <si>
    <t>IL92</t>
  </si>
  <si>
    <t>IL93</t>
  </si>
  <si>
    <t>IL94</t>
  </si>
  <si>
    <t>IL96</t>
  </si>
  <si>
    <t>IL97</t>
  </si>
  <si>
    <t>IL98</t>
  </si>
  <si>
    <t>IL99</t>
  </si>
  <si>
    <t>SNP-DBg17-3228</t>
  </si>
  <si>
    <t>Plot No.</t>
  </si>
  <si>
    <t>FRC</t>
  </si>
  <si>
    <t>Kedah</t>
  </si>
  <si>
    <t>multiplication</t>
  </si>
  <si>
    <t xml:space="preserve">planting density </t>
  </si>
  <si>
    <t>SNP-2013?</t>
  </si>
  <si>
    <t>Pop Name</t>
  </si>
  <si>
    <t>Accession No.</t>
  </si>
  <si>
    <t>Generation</t>
  </si>
  <si>
    <t>S19xAnkpa4</t>
  </si>
  <si>
    <t>IITA686xAnkpa4</t>
  </si>
  <si>
    <t>Ankpa4xIITA686</t>
  </si>
  <si>
    <t>IITA686xLunT</t>
  </si>
  <si>
    <t>TigaNecuruxDipC</t>
  </si>
  <si>
    <t>F5</t>
  </si>
  <si>
    <t>GEM</t>
  </si>
  <si>
    <t>MM196</t>
  </si>
  <si>
    <t>PM101</t>
  </si>
  <si>
    <t>PM381</t>
  </si>
  <si>
    <t>PM338</t>
  </si>
  <si>
    <t>PM162</t>
  </si>
  <si>
    <t>PM124</t>
  </si>
  <si>
    <t>PM9</t>
  </si>
  <si>
    <t>PM480</t>
  </si>
  <si>
    <t>PM45</t>
  </si>
  <si>
    <t>MM135</t>
  </si>
  <si>
    <t>PM312</t>
  </si>
  <si>
    <t>PM261</t>
  </si>
  <si>
    <t>PM388</t>
  </si>
  <si>
    <t>PM390</t>
  </si>
  <si>
    <t>PM58</t>
  </si>
  <si>
    <t>PM96</t>
  </si>
  <si>
    <t>PM213</t>
  </si>
  <si>
    <t>PM215</t>
  </si>
  <si>
    <t>PM10</t>
  </si>
  <si>
    <t>PM150</t>
  </si>
  <si>
    <t>PM255</t>
  </si>
  <si>
    <t>PM486</t>
  </si>
  <si>
    <t>PM187</t>
  </si>
  <si>
    <t>PM232</t>
  </si>
  <si>
    <t>MM231</t>
  </si>
  <si>
    <t>PM447</t>
  </si>
  <si>
    <t>PM188</t>
  </si>
  <si>
    <t>PM120</t>
  </si>
  <si>
    <t>PM92</t>
  </si>
  <si>
    <t>MM61</t>
  </si>
  <si>
    <t>PM190</t>
  </si>
  <si>
    <t>PM84</t>
  </si>
  <si>
    <t>PM220</t>
  </si>
  <si>
    <t>PM209</t>
  </si>
  <si>
    <t>PM247</t>
  </si>
  <si>
    <t>PM340</t>
  </si>
  <si>
    <t>MM232</t>
  </si>
  <si>
    <t>PM370</t>
  </si>
  <si>
    <t>PM327</t>
  </si>
  <si>
    <t>PM211</t>
  </si>
  <si>
    <t>MM222</t>
  </si>
  <si>
    <t>PM167</t>
  </si>
  <si>
    <t>PM477</t>
  </si>
  <si>
    <t>MM56</t>
  </si>
  <si>
    <t>PM103</t>
  </si>
  <si>
    <t>MM235</t>
  </si>
  <si>
    <t>MM230</t>
  </si>
  <si>
    <t>PM158</t>
  </si>
  <si>
    <t>PM396</t>
  </si>
  <si>
    <t>MM264</t>
  </si>
  <si>
    <t>PM439</t>
  </si>
  <si>
    <t>PM295</t>
  </si>
  <si>
    <t>PM316</t>
  </si>
  <si>
    <t>MM52</t>
  </si>
  <si>
    <t>PM151</t>
  </si>
  <si>
    <t>PM304</t>
  </si>
  <si>
    <t>PM19</t>
  </si>
  <si>
    <t>PM229</t>
  </si>
  <si>
    <t>PM431</t>
  </si>
  <si>
    <t>MM55</t>
  </si>
  <si>
    <t>PM315</t>
  </si>
  <si>
    <t>PM372</t>
  </si>
  <si>
    <t>PM422</t>
  </si>
  <si>
    <t>MM25</t>
  </si>
  <si>
    <t>PM164</t>
  </si>
  <si>
    <t>PM282</t>
  </si>
  <si>
    <t>MM122</t>
  </si>
  <si>
    <t>PM146</t>
  </si>
  <si>
    <t>PM324</t>
  </si>
  <si>
    <t>MM89</t>
  </si>
  <si>
    <t>MM82</t>
  </si>
  <si>
    <t>MM28</t>
  </si>
  <si>
    <t>PM329</t>
  </si>
  <si>
    <t>PM168</t>
  </si>
  <si>
    <t>MM137</t>
  </si>
  <si>
    <t>MM168</t>
  </si>
  <si>
    <t>MM179</t>
  </si>
  <si>
    <t>MM54</t>
  </si>
  <si>
    <t>PM313</t>
  </si>
  <si>
    <t>MM2</t>
  </si>
  <si>
    <t>MM256</t>
  </si>
  <si>
    <t>PM113</t>
  </si>
  <si>
    <t>MM234</t>
  </si>
  <si>
    <t>PM332</t>
  </si>
  <si>
    <t>MM132</t>
  </si>
  <si>
    <t>PM31</t>
  </si>
  <si>
    <t>PM356</t>
  </si>
  <si>
    <t>PM69</t>
  </si>
  <si>
    <t>PM260</t>
  </si>
  <si>
    <t>PM177</t>
  </si>
  <si>
    <t>MM243</t>
  </si>
  <si>
    <t>PM16</t>
  </si>
  <si>
    <t>PM67</t>
  </si>
  <si>
    <t>PM23</t>
  </si>
  <si>
    <t>PM112</t>
  </si>
  <si>
    <t>PM208</t>
  </si>
  <si>
    <t>PM429</t>
  </si>
  <si>
    <t>MM228</t>
  </si>
  <si>
    <t>MM209</t>
  </si>
  <si>
    <t>PM118</t>
  </si>
  <si>
    <t>PM433</t>
  </si>
  <si>
    <t>PM363</t>
  </si>
  <si>
    <t>PM278</t>
  </si>
  <si>
    <t>PM387</t>
  </si>
  <si>
    <t>MM163</t>
  </si>
  <si>
    <t>MM169</t>
  </si>
  <si>
    <t>MM65</t>
  </si>
  <si>
    <t>PM143</t>
  </si>
  <si>
    <t>MM119</t>
  </si>
  <si>
    <t>PM61</t>
  </si>
  <si>
    <t>PM68</t>
  </si>
  <si>
    <t>PM218</t>
  </si>
  <si>
    <t>MM244</t>
  </si>
  <si>
    <t>PM323</t>
  </si>
  <si>
    <t>PM470</t>
  </si>
  <si>
    <t>PM346</t>
  </si>
  <si>
    <t>PM235</t>
  </si>
  <si>
    <t>MM64</t>
  </si>
  <si>
    <t>PM347</t>
  </si>
  <si>
    <t>PM186</t>
  </si>
  <si>
    <t>PM403</t>
  </si>
  <si>
    <t>MM166</t>
  </si>
  <si>
    <t>PM206</t>
  </si>
  <si>
    <t>PM63</t>
  </si>
  <si>
    <t>PM442</t>
  </si>
  <si>
    <t>PM125</t>
  </si>
  <si>
    <t>PM450</t>
  </si>
  <si>
    <t>PM12</t>
  </si>
  <si>
    <t>PM6</t>
  </si>
  <si>
    <t>PM159</t>
  </si>
  <si>
    <t>PM298</t>
  </si>
  <si>
    <t>PM378</t>
  </si>
  <si>
    <t>PM166</t>
  </si>
  <si>
    <t>MM220</t>
  </si>
  <si>
    <t>PM234</t>
  </si>
  <si>
    <t>PM25</t>
  </si>
  <si>
    <t>PM319</t>
  </si>
  <si>
    <t>PM93</t>
  </si>
  <si>
    <t>PM29</t>
  </si>
  <si>
    <t>PM72</t>
  </si>
  <si>
    <t>PM354</t>
  </si>
  <si>
    <t>MM47</t>
  </si>
  <si>
    <t>PM318</t>
  </si>
  <si>
    <t>PM224</t>
  </si>
  <si>
    <t>PM35</t>
  </si>
  <si>
    <t>PM8</t>
  </si>
  <si>
    <t>PM21</t>
  </si>
  <si>
    <t>MM118</t>
  </si>
  <si>
    <t>PM395</t>
  </si>
  <si>
    <t>PM341</t>
  </si>
  <si>
    <t>PM428</t>
  </si>
  <si>
    <t>MM262</t>
  </si>
  <si>
    <t>PM54</t>
  </si>
  <si>
    <t>PM184</t>
  </si>
  <si>
    <t>PM100</t>
  </si>
  <si>
    <t>PM367</t>
  </si>
  <si>
    <t>PM271</t>
  </si>
  <si>
    <t>PM443</t>
  </si>
  <si>
    <t>PM418</t>
  </si>
  <si>
    <t>PM348</t>
  </si>
  <si>
    <t>MM206</t>
  </si>
  <si>
    <t>PM245</t>
  </si>
  <si>
    <t>PM398</t>
  </si>
  <si>
    <t>PM350</t>
  </si>
  <si>
    <t>MM227</t>
  </si>
  <si>
    <t>PM161</t>
  </si>
  <si>
    <t>PM192</t>
  </si>
  <si>
    <t>MM238</t>
  </si>
  <si>
    <t>PM181</t>
  </si>
  <si>
    <t>MM173</t>
  </si>
  <si>
    <t>PM24</t>
  </si>
  <si>
    <t>MM115</t>
  </si>
  <si>
    <t>PM3</t>
  </si>
  <si>
    <t>PM279</t>
  </si>
  <si>
    <t>PM402</t>
  </si>
  <si>
    <t>MM197</t>
  </si>
  <si>
    <t>PM136</t>
  </si>
  <si>
    <t>PM424</t>
  </si>
  <si>
    <t>PM191</t>
  </si>
  <si>
    <t>PM221</t>
  </si>
  <si>
    <t>PM98</t>
  </si>
  <si>
    <t>MM131</t>
  </si>
  <si>
    <t>PM197</t>
  </si>
  <si>
    <t>MM141</t>
  </si>
  <si>
    <t>PM5</t>
  </si>
  <si>
    <t>PM452</t>
  </si>
  <si>
    <t>PM179</t>
  </si>
  <si>
    <t>MM84</t>
  </si>
  <si>
    <t>PM294</t>
  </si>
  <si>
    <t>MM51</t>
  </si>
  <si>
    <t>PM308</t>
  </si>
  <si>
    <t>PM246</t>
  </si>
  <si>
    <t>PM183</t>
  </si>
  <si>
    <t>MM187</t>
  </si>
  <si>
    <t>MM194</t>
  </si>
  <si>
    <t>PM223</t>
  </si>
  <si>
    <t>PM242</t>
  </si>
  <si>
    <t>PM135</t>
  </si>
  <si>
    <t>PM73</t>
  </si>
  <si>
    <t>MM152</t>
  </si>
  <si>
    <t>PM289</t>
  </si>
  <si>
    <t>PM269</t>
  </si>
  <si>
    <t>PM160</t>
  </si>
  <si>
    <t>PM393</t>
  </si>
  <si>
    <t>PM204</t>
  </si>
  <si>
    <t>MM37</t>
  </si>
  <si>
    <t>PM389</t>
  </si>
  <si>
    <t>PM83</t>
  </si>
  <si>
    <t>PM52</t>
  </si>
  <si>
    <t>PM115</t>
  </si>
  <si>
    <t>MM149</t>
  </si>
  <si>
    <t>MM178</t>
  </si>
  <si>
    <t>PM301</t>
  </si>
  <si>
    <t>MM74</t>
  </si>
  <si>
    <t>MM83</t>
  </si>
  <si>
    <t>MM130</t>
  </si>
  <si>
    <t>MM161</t>
  </si>
  <si>
    <t>PM274</t>
  </si>
  <si>
    <t>cM</t>
  </si>
  <si>
    <t>LG</t>
  </si>
  <si>
    <t>Marker name</t>
  </si>
  <si>
    <t>3a</t>
  </si>
  <si>
    <t>3b</t>
  </si>
  <si>
    <t>6a</t>
  </si>
  <si>
    <t>6b</t>
  </si>
  <si>
    <t>Traits</t>
  </si>
  <si>
    <t>Position (cM)</t>
  </si>
  <si>
    <t>LOD</t>
  </si>
  <si>
    <t>PT</t>
  </si>
  <si>
    <t xml:space="preserve">PVE% </t>
  </si>
  <si>
    <t>Additive effect</t>
  </si>
  <si>
    <t>Nearest marker</t>
  </si>
  <si>
    <t>Treatment</t>
  </si>
  <si>
    <t>Marker Interval</t>
  </si>
  <si>
    <t>Trait</t>
  </si>
  <si>
    <t>IITA_A</t>
  </si>
  <si>
    <t>IITA_B</t>
  </si>
  <si>
    <t>ITA_B</t>
  </si>
  <si>
    <t>DF</t>
  </si>
  <si>
    <t>DE</t>
  </si>
  <si>
    <t>MM152-PM269</t>
  </si>
  <si>
    <t>8B</t>
  </si>
  <si>
    <t>PM267</t>
  </si>
  <si>
    <t>EDP</t>
  </si>
  <si>
    <t>IR</t>
  </si>
  <si>
    <t>D</t>
  </si>
  <si>
    <t>MM130-MM161</t>
  </si>
  <si>
    <t>PM260-PM177</t>
  </si>
  <si>
    <t>IN</t>
  </si>
  <si>
    <t>8A</t>
  </si>
  <si>
    <t>PM115-MM149</t>
  </si>
  <si>
    <t>PM395-PM341</t>
  </si>
  <si>
    <t>MM135-PM312</t>
  </si>
  <si>
    <t>PM112-PM208</t>
  </si>
  <si>
    <t>PEL</t>
  </si>
  <si>
    <t>PM289 (15.1 cM)</t>
  </si>
  <si>
    <t>PM271 (7.5 cM)</t>
  </si>
  <si>
    <t>MM130 (99.3 cM)</t>
  </si>
  <si>
    <t>PM177 (117.8 cM)</t>
  </si>
  <si>
    <t>MM135 (51.8 cM)</t>
  </si>
  <si>
    <t>PM341 (55.6 cM)</t>
  </si>
  <si>
    <t>PM208 (135.3 cM)</t>
  </si>
  <si>
    <t>PM115 (52.6 cM)</t>
  </si>
  <si>
    <t>PM428 (60.1 cM)</t>
  </si>
  <si>
    <t>PM312 (54.1 cM)</t>
  </si>
  <si>
    <t>PM187 (4.8 cM)</t>
  </si>
  <si>
    <t>MM220 (73.9 cM)</t>
  </si>
  <si>
    <t>PM486-PM187</t>
  </si>
  <si>
    <t>2.32 P</t>
  </si>
  <si>
    <t>2.21 P</t>
  </si>
  <si>
    <t>2.87 P</t>
  </si>
  <si>
    <t>PN</t>
  </si>
  <si>
    <t>MM178 (60.3 cM)</t>
  </si>
  <si>
    <t>PM112 (132.8 cM)</t>
  </si>
  <si>
    <t>MM149-PM301</t>
  </si>
  <si>
    <t>PM23-PM208</t>
  </si>
  <si>
    <t>2.64 P</t>
  </si>
  <si>
    <t>PM45-PM312</t>
  </si>
  <si>
    <t>2.57 P</t>
  </si>
  <si>
    <t>PW</t>
  </si>
  <si>
    <t>MM232 (91.4 cM)</t>
  </si>
  <si>
    <t>2.56 P</t>
  </si>
  <si>
    <t>MM149 (59.2 cM)</t>
  </si>
  <si>
    <t>PM190 (53.3 cM)</t>
  </si>
  <si>
    <t>PM190-PM84</t>
  </si>
  <si>
    <t>2.49 P</t>
  </si>
  <si>
    <t>SN</t>
  </si>
  <si>
    <t>PM84 (63.6 cM)</t>
  </si>
  <si>
    <t>SW</t>
  </si>
  <si>
    <t>PM312-PM261</t>
  </si>
  <si>
    <t>2.45 P</t>
  </si>
  <si>
    <t>2.17 P</t>
  </si>
  <si>
    <t>100SW</t>
  </si>
  <si>
    <t>PM181 (55.4 cM)</t>
  </si>
  <si>
    <t>MM131 (22.4 cM)</t>
  </si>
  <si>
    <t>PM204 (30.2 cM)</t>
  </si>
  <si>
    <t>MM238-PM181</t>
  </si>
  <si>
    <t>PM98-MM131</t>
  </si>
  <si>
    <t>PM393-MM37</t>
  </si>
  <si>
    <t>2.38 P</t>
  </si>
  <si>
    <t>PM247 (84.0 cM)</t>
  </si>
  <si>
    <t>MM25 (12.5 cM)</t>
  </si>
  <si>
    <t>PM209-PM340</t>
  </si>
  <si>
    <t>MM25-PM164</t>
  </si>
  <si>
    <t>PM393-PM204</t>
  </si>
  <si>
    <t>SDW</t>
  </si>
  <si>
    <t>PM261 (58.0 cM)</t>
  </si>
  <si>
    <t>PM341-PM428</t>
  </si>
  <si>
    <t>PM261-PM388</t>
  </si>
  <si>
    <t xml:space="preserve">2.67 P </t>
  </si>
  <si>
    <t>2.28 P</t>
  </si>
  <si>
    <t>HI</t>
  </si>
  <si>
    <t>2.73 P</t>
  </si>
  <si>
    <t>2.74 P</t>
  </si>
  <si>
    <t>RWC</t>
  </si>
  <si>
    <t>PM136 (2.1 cM)</t>
  </si>
  <si>
    <t>MM89 (0.0 cM)</t>
  </si>
  <si>
    <t>MM197-PM424</t>
  </si>
  <si>
    <t>1.86 ns</t>
  </si>
  <si>
    <t>1.35 ns</t>
  </si>
  <si>
    <t>SC</t>
  </si>
  <si>
    <t>PM103 (24.7 cM)</t>
  </si>
  <si>
    <t>MM61 (42.5 cM)</t>
  </si>
  <si>
    <t>MM56-MM235</t>
  </si>
  <si>
    <t>MM61-PM190</t>
  </si>
  <si>
    <t>1.17 ns</t>
  </si>
  <si>
    <t>CID</t>
  </si>
  <si>
    <t>PM327 (4.6 cM)</t>
  </si>
  <si>
    <t>MM54 (54.7 cM)</t>
  </si>
  <si>
    <t>PM327-PM211</t>
  </si>
  <si>
    <t>MM179-MM54</t>
  </si>
  <si>
    <t>1.63 ns</t>
  </si>
  <si>
    <t>SD</t>
  </si>
  <si>
    <t>PM96 (81.9 cM)</t>
  </si>
  <si>
    <t>PM424 (2.7 cM)</t>
  </si>
  <si>
    <t>PM96-PM213</t>
  </si>
  <si>
    <t>PM136-PM191</t>
  </si>
  <si>
    <t>PM213 (98.6 cM)</t>
  </si>
  <si>
    <t>PM372 (6.6 cM)</t>
  </si>
  <si>
    <t>PM315-PM422</t>
  </si>
  <si>
    <t>PM340-MM232</t>
  </si>
  <si>
    <t>2.54 P</t>
  </si>
  <si>
    <t>NID</t>
  </si>
  <si>
    <t>PM378 (61.7 cM)</t>
  </si>
  <si>
    <t>PM298-PM378</t>
  </si>
  <si>
    <t xml:space="preserve">2.13 P </t>
  </si>
  <si>
    <t>PM83 (51.1 cM)</t>
  </si>
  <si>
    <t>PM389-PM52</t>
  </si>
  <si>
    <t>1.64 ns</t>
  </si>
  <si>
    <t>2.12 P</t>
  </si>
  <si>
    <t>1.84 ns</t>
  </si>
  <si>
    <t>2.92 P</t>
  </si>
  <si>
    <t>2.85 P</t>
  </si>
  <si>
    <t>2.59 P</t>
  </si>
  <si>
    <t xml:space="preserve">2.80 P </t>
  </si>
  <si>
    <t>2.20 P</t>
  </si>
  <si>
    <t>unspecified</t>
  </si>
  <si>
    <t>water deficit stress</t>
  </si>
  <si>
    <t>6 reps</t>
  </si>
  <si>
    <t>Provenance</t>
  </si>
  <si>
    <t>UoN</t>
  </si>
  <si>
    <t>IITA Genebank</t>
  </si>
  <si>
    <t>P5 SB_GH-(17105)</t>
  </si>
  <si>
    <t>P6 SB_GH-(37107)</t>
  </si>
  <si>
    <t>P9 SB_GHC-(36105)</t>
  </si>
  <si>
    <t>P20 SB_GH-(21105)</t>
  </si>
  <si>
    <t>P23 SB_GHC-(16105)</t>
  </si>
  <si>
    <t>P24 SB_GHC-(37105)</t>
  </si>
  <si>
    <t>P35 SB_GH-(36107)</t>
  </si>
  <si>
    <t>P38 SB_GHC-(24105)</t>
  </si>
  <si>
    <t>(6) 4Acc144SB_GHA-B</t>
  </si>
  <si>
    <t>Remarks</t>
  </si>
  <si>
    <t>contract farming, Malaysia</t>
  </si>
  <si>
    <t>yield evaluation</t>
  </si>
  <si>
    <t>Selangor, Malaysia</t>
  </si>
  <si>
    <t>Kedah, Malaysia</t>
  </si>
  <si>
    <t>Line &amp; Provenance</t>
  </si>
  <si>
    <t>Scoring Unit</t>
  </si>
  <si>
    <t>Cultivar</t>
  </si>
  <si>
    <t>Proposed Acc No.</t>
  </si>
  <si>
    <t>Population</t>
  </si>
  <si>
    <t>QTL</t>
  </si>
  <si>
    <t xml:space="preserve">B) Population </t>
  </si>
  <si>
    <t>Trials</t>
  </si>
  <si>
    <t>Genetic Linkage Map</t>
  </si>
  <si>
    <t xml:space="preserve">design factor </t>
  </si>
  <si>
    <t>exp plot</t>
  </si>
  <si>
    <t>replicates</t>
  </si>
  <si>
    <t>row, column</t>
  </si>
  <si>
    <t>treatment</t>
  </si>
  <si>
    <t>year</t>
  </si>
  <si>
    <t xml:space="preserve">marker assay </t>
  </si>
  <si>
    <t>Sutton Bonington, UK</t>
  </si>
  <si>
    <t>UNM</t>
  </si>
  <si>
    <t>Uni of Nottingham, Malaysia</t>
  </si>
  <si>
    <t>seq ID</t>
  </si>
  <si>
    <t>seq</t>
  </si>
  <si>
    <t>Publication</t>
  </si>
  <si>
    <t>DOI: 10.1007/s10722-015-0226-6</t>
  </si>
  <si>
    <t xml:space="preserve">Purpose </t>
  </si>
  <si>
    <t>block design??</t>
  </si>
  <si>
    <t>TVSuxxx</t>
  </si>
  <si>
    <t>BNF Symbol Nomenclature</t>
  </si>
  <si>
    <t>Symbol</t>
  </si>
  <si>
    <t>designating</t>
  </si>
  <si>
    <t>example</t>
  </si>
  <si>
    <t xml:space="preserve">&lt;  &gt; </t>
  </si>
  <si>
    <t>description</t>
  </si>
  <si>
    <t>&lt;NAME&gt; = JOHN ; &lt;name&gt; = john ; &lt;Name&gt; = John</t>
  </si>
  <si>
    <t>" "</t>
  </si>
  <si>
    <t>characters within "  " are as given</t>
  </si>
  <si>
    <t>"_"</t>
  </si>
  <si>
    <t xml:space="preserve">e.g. to ensure an underscore separator _ is included </t>
  </si>
  <si>
    <t>[  ]</t>
  </si>
  <si>
    <t>optional</t>
  </si>
  <si>
    <t>&lt;First Name&gt; [&lt;MIDDLE INITIALS&gt;] &lt;SURNAME&gt; = John P SMITH or John SMITH if ther person has no middle initials</t>
  </si>
  <si>
    <t>|</t>
  </si>
  <si>
    <t>or</t>
  </si>
  <si>
    <t>{  }</t>
  </si>
  <si>
    <t>group</t>
  </si>
  <si>
    <t>used to group the options for the "or" symbol</t>
  </si>
  <si>
    <t>Abbreviation</t>
  </si>
  <si>
    <t xml:space="preserve">GH </t>
  </si>
  <si>
    <t>Tropical Glasshouses (GH1, GH2, GH3)</t>
  </si>
  <si>
    <t>P7/Kedah</t>
  </si>
  <si>
    <t>Ozie</t>
  </si>
  <si>
    <t>Month/Year</t>
  </si>
  <si>
    <t>SPDx</t>
  </si>
  <si>
    <t>single plant descent, x = generation</t>
  </si>
  <si>
    <t>Jul-Nov 2015</t>
  </si>
  <si>
    <t>Jan-Apr 2016</t>
  </si>
  <si>
    <t>Mar-Jul 2017</t>
  </si>
  <si>
    <t xml:space="preserve">Total Line </t>
  </si>
  <si>
    <t>Trial name</t>
  </si>
  <si>
    <t>P7 (2015/ON HILL)</t>
  </si>
  <si>
    <t>P7 (2015)</t>
  </si>
  <si>
    <t>M (2016/PLOT3)</t>
  </si>
  <si>
    <t>M (2016/PLOT4)</t>
  </si>
  <si>
    <t>P7 (2016)</t>
  </si>
  <si>
    <t>M (2017)</t>
  </si>
  <si>
    <t>P1 (2017)</t>
  </si>
  <si>
    <t>NP</t>
  </si>
  <si>
    <t>M (2015/NURSERY)</t>
  </si>
  <si>
    <t>2015?</t>
  </si>
  <si>
    <t>FRC nursery</t>
  </si>
  <si>
    <t xml:space="preserve">2014 project and most of the seeds from Tamale market; </t>
  </si>
  <si>
    <t>2015 project using seeds from Sutton Bonington, UK (UNSB stock)</t>
  </si>
  <si>
    <t>2015 P7 project; line (seeds from ''2014'' planting?) are planted during "wet season" (in 2015 July - Nov) at FRC and Kedah.</t>
  </si>
  <si>
    <t>2016 "dry season" including four plots: plot 1 (P7 project); plot 2 (high yielders line, parental lines, optional lines for multiplication); plot 3 (cream seeds); plot 4 (dark seeds)</t>
  </si>
  <si>
    <t>2016 P7 project at Kedah, same lines are used as 'ALL FRC 2016 (Jan-Apr)' plot 1 (P7 project)</t>
  </si>
  <si>
    <t>2017 project; Multiplication (in addition to planting density trial)</t>
  </si>
  <si>
    <t xml:space="preserve">2017 project; Separate tab 'Planting density trial'- data compilation is in progres; "Planting density trial with Debbie's comments'. </t>
  </si>
  <si>
    <t>Phase I</t>
  </si>
  <si>
    <t>Phase II</t>
  </si>
  <si>
    <t>Phase III</t>
  </si>
  <si>
    <t>?</t>
  </si>
  <si>
    <t>2018?</t>
  </si>
  <si>
    <t>GH</t>
  </si>
  <si>
    <t>GH?</t>
  </si>
  <si>
    <t>Field Research Centre, CFF; nursery or rainout shelter (RS)</t>
  </si>
  <si>
    <t>260?</t>
  </si>
  <si>
    <t>FRC - RS</t>
  </si>
  <si>
    <t>??</t>
  </si>
  <si>
    <t>AG panel</t>
  </si>
  <si>
    <t>AG panel_SPD1</t>
  </si>
  <si>
    <t>280?</t>
  </si>
  <si>
    <t>purification</t>
  </si>
  <si>
    <t>TVSu0004aSPD1</t>
  </si>
  <si>
    <t>TVSu0005aSPD1</t>
  </si>
  <si>
    <t>TVSu0089aSPD1</t>
  </si>
  <si>
    <t>TVSu0004bSPD1</t>
  </si>
  <si>
    <t>TVSu0005bSPD1</t>
  </si>
  <si>
    <t>TVSu0089bSPD1</t>
  </si>
  <si>
    <t>TVSu0338aSPD1</t>
  </si>
  <si>
    <t>TVSu0338bSPD1</t>
  </si>
  <si>
    <t>TVSu0504aSPD1</t>
  </si>
  <si>
    <t>TVSu0504bSPD1</t>
  </si>
  <si>
    <t>TVSu0529aSPD1</t>
  </si>
  <si>
    <t>TVSu0529bSPD1</t>
  </si>
  <si>
    <t>TVSu0529cSPD1</t>
  </si>
  <si>
    <t>TVSu0593aSPD1</t>
  </si>
  <si>
    <t>TVSu0593bSPD1</t>
  </si>
  <si>
    <t>TVSu0686aSPD1</t>
  </si>
  <si>
    <t>TVSu0686bSPD1</t>
  </si>
  <si>
    <t>SN49</t>
  </si>
  <si>
    <t>SN74</t>
  </si>
  <si>
    <t>SN76</t>
  </si>
  <si>
    <t>SN77</t>
  </si>
  <si>
    <t>SN78</t>
  </si>
  <si>
    <t>SN1</t>
  </si>
  <si>
    <t>SN2</t>
  </si>
  <si>
    <t>SN3</t>
  </si>
  <si>
    <t>SN4</t>
  </si>
  <si>
    <t>SN5</t>
  </si>
  <si>
    <t>SN6</t>
  </si>
  <si>
    <t>SN7</t>
  </si>
  <si>
    <t>SN8</t>
  </si>
  <si>
    <t>SN9</t>
  </si>
  <si>
    <t>SN10</t>
  </si>
  <si>
    <t>SN11</t>
  </si>
  <si>
    <t>SN12</t>
  </si>
  <si>
    <t>SN13</t>
  </si>
  <si>
    <t>SN14</t>
  </si>
  <si>
    <t>SN15</t>
  </si>
  <si>
    <t>SN16</t>
  </si>
  <si>
    <t>SN17</t>
  </si>
  <si>
    <t>SN18</t>
  </si>
  <si>
    <t>SN19</t>
  </si>
  <si>
    <t>SN20</t>
  </si>
  <si>
    <t>SN21</t>
  </si>
  <si>
    <t>SN22</t>
  </si>
  <si>
    <t>SN23</t>
  </si>
  <si>
    <t>SN24</t>
  </si>
  <si>
    <t>SN25</t>
  </si>
  <si>
    <t>SN26</t>
  </si>
  <si>
    <t>SN27</t>
  </si>
  <si>
    <t>SN28</t>
  </si>
  <si>
    <t>SN29</t>
  </si>
  <si>
    <t>SN30</t>
  </si>
  <si>
    <t>SN31</t>
  </si>
  <si>
    <t>SN32</t>
  </si>
  <si>
    <t>SN33</t>
  </si>
  <si>
    <t>SN34</t>
  </si>
  <si>
    <t>SN35</t>
  </si>
  <si>
    <t>SN36</t>
  </si>
  <si>
    <t>SN37</t>
  </si>
  <si>
    <t>SN38</t>
  </si>
  <si>
    <t>SN39</t>
  </si>
  <si>
    <t>SN40</t>
  </si>
  <si>
    <t>SN41</t>
  </si>
  <si>
    <t>SN42</t>
  </si>
  <si>
    <t>SN43</t>
  </si>
  <si>
    <t>SN44</t>
  </si>
  <si>
    <t>SN45</t>
  </si>
  <si>
    <t>SN46</t>
  </si>
  <si>
    <t>SN47</t>
  </si>
  <si>
    <t>SN48</t>
  </si>
  <si>
    <t>SN50</t>
  </si>
  <si>
    <t>SN52</t>
  </si>
  <si>
    <t>SN53</t>
  </si>
  <si>
    <t>SN54</t>
  </si>
  <si>
    <t>SN56</t>
  </si>
  <si>
    <t>SN57</t>
  </si>
  <si>
    <t>SN58</t>
  </si>
  <si>
    <t>SN60</t>
  </si>
  <si>
    <t>SN61</t>
  </si>
  <si>
    <t>SN62</t>
  </si>
  <si>
    <t>SN63</t>
  </si>
  <si>
    <t>SN64</t>
  </si>
  <si>
    <t>SN65</t>
  </si>
  <si>
    <t>SN66</t>
  </si>
  <si>
    <t>SN67</t>
  </si>
  <si>
    <t>SN69</t>
  </si>
  <si>
    <t>SN70</t>
  </si>
  <si>
    <t>SN71</t>
  </si>
  <si>
    <t>SN72</t>
  </si>
  <si>
    <t>SN73</t>
  </si>
  <si>
    <t>SN75</t>
  </si>
  <si>
    <t>SN79</t>
  </si>
  <si>
    <t>SN80</t>
  </si>
  <si>
    <t>SN51</t>
  </si>
  <si>
    <t>SN55</t>
  </si>
  <si>
    <t>SN59</t>
  </si>
  <si>
    <t>SN68</t>
  </si>
  <si>
    <t>TD1F3-002</t>
  </si>
  <si>
    <t>TD1F3-003</t>
  </si>
  <si>
    <t>TD1F3-004</t>
  </si>
  <si>
    <t>TD1F3-005</t>
  </si>
  <si>
    <t>TD1F3-006</t>
  </si>
  <si>
    <t>TD1F3-007</t>
  </si>
  <si>
    <t>TD1F3-008</t>
  </si>
  <si>
    <t>TD1F3-009</t>
  </si>
  <si>
    <t>TD1F3-010</t>
  </si>
  <si>
    <t>TD1F3-011</t>
  </si>
  <si>
    <t>TD1F3-013</t>
  </si>
  <si>
    <t>TD1F3-014</t>
  </si>
  <si>
    <t>TD1F3-017</t>
  </si>
  <si>
    <t>TD1F3-020</t>
  </si>
  <si>
    <t>TD1F3-021</t>
  </si>
  <si>
    <t>TD1F3-022</t>
  </si>
  <si>
    <t>TD1F3-023</t>
  </si>
  <si>
    <t>TD1F3-024</t>
  </si>
  <si>
    <t>TD1F3-025</t>
  </si>
  <si>
    <t>TD1F3-026</t>
  </si>
  <si>
    <t>TD1F3-027</t>
  </si>
  <si>
    <t>TD1F3-034</t>
  </si>
  <si>
    <t>TD1F3-035</t>
  </si>
  <si>
    <t>TD1F3-036</t>
  </si>
  <si>
    <t>TD1F3-037</t>
  </si>
  <si>
    <t>TD1F3-038</t>
  </si>
  <si>
    <t>TD1F3-039</t>
  </si>
  <si>
    <t>TD1F3-040</t>
  </si>
  <si>
    <t>TD1F3-041</t>
  </si>
  <si>
    <t>TD1F3-043</t>
  </si>
  <si>
    <t>TD1F3-044</t>
  </si>
  <si>
    <t>TD1F3-045</t>
  </si>
  <si>
    <t>TD1F3-046</t>
  </si>
  <si>
    <t>TD1F3-047</t>
  </si>
  <si>
    <t>TD1F3-048</t>
  </si>
  <si>
    <t>TD1F3-049</t>
  </si>
  <si>
    <t>TD1F3-050</t>
  </si>
  <si>
    <t>TD1F3-051</t>
  </si>
  <si>
    <t>TD1F3-052</t>
  </si>
  <si>
    <t>TD1F3-053</t>
  </si>
  <si>
    <t>TD1F3-056</t>
  </si>
  <si>
    <t>TD1F3-057</t>
  </si>
  <si>
    <t>TD1F3-058</t>
  </si>
  <si>
    <t>TD1F3-059</t>
  </si>
  <si>
    <t>TD1F3-060</t>
  </si>
  <si>
    <t>TD1F3-064</t>
  </si>
  <si>
    <t>TD1F3-074</t>
  </si>
  <si>
    <t>TD1F3-075</t>
  </si>
  <si>
    <t>TD1F3-076</t>
  </si>
  <si>
    <t>TD1F3-077</t>
  </si>
  <si>
    <t>TD1F3-082</t>
  </si>
  <si>
    <t>TD1F3-083</t>
  </si>
  <si>
    <t>TD1F3-084</t>
  </si>
  <si>
    <t>TD1F3-085</t>
  </si>
  <si>
    <t>TD1F3-086</t>
  </si>
  <si>
    <t>TD1F3-089</t>
  </si>
  <si>
    <t>TD1F3-092</t>
  </si>
  <si>
    <t>TD1F3-094</t>
  </si>
  <si>
    <t>TD1F3-102</t>
  </si>
  <si>
    <t>TD1F3-103</t>
  </si>
  <si>
    <t>TD1F3-104</t>
  </si>
  <si>
    <t>TD1F3-105</t>
  </si>
  <si>
    <t>TD1F3-106</t>
  </si>
  <si>
    <t>TD1F3-108</t>
  </si>
  <si>
    <t>TD1F3-109</t>
  </si>
  <si>
    <t>TD1F3-111</t>
  </si>
  <si>
    <t>TD1F3-112</t>
  </si>
  <si>
    <t>TD1F3-114</t>
  </si>
  <si>
    <t>TD1F3-115</t>
  </si>
  <si>
    <t>TD1F3-116</t>
  </si>
  <si>
    <t>TD1F3-117</t>
  </si>
  <si>
    <t>TD1F5-002</t>
  </si>
  <si>
    <t>TD1F5-003</t>
  </si>
  <si>
    <t>TD1F5-004</t>
  </si>
  <si>
    <t>TD1F5-005</t>
  </si>
  <si>
    <t>TD1F5-006</t>
  </si>
  <si>
    <t>TD1F5-007</t>
  </si>
  <si>
    <t>TD1F5-008</t>
  </si>
  <si>
    <t>TD1F5-009</t>
  </si>
  <si>
    <t>TD1F5-010</t>
  </si>
  <si>
    <t>TD1F5-011</t>
  </si>
  <si>
    <t>TD1F5-013</t>
  </si>
  <si>
    <t>TD1F5-014</t>
  </si>
  <si>
    <t>TD1F5-017</t>
  </si>
  <si>
    <t>TD1F5-020</t>
  </si>
  <si>
    <t>TD1F5-021</t>
  </si>
  <si>
    <t>TD1F5-022</t>
  </si>
  <si>
    <t>TD1F5-023</t>
  </si>
  <si>
    <t>TD1F5-024</t>
  </si>
  <si>
    <t>TD1F5-025</t>
  </si>
  <si>
    <t>TD1F5-026</t>
  </si>
  <si>
    <t>TD1F5-027</t>
  </si>
  <si>
    <t>TD1F5-034</t>
  </si>
  <si>
    <t>TD1F5-035</t>
  </si>
  <si>
    <t>TD1F5-036</t>
  </si>
  <si>
    <t>TD1F5-037</t>
  </si>
  <si>
    <t>TD1F5-038</t>
  </si>
  <si>
    <t>TD1F5-039</t>
  </si>
  <si>
    <t>TD1F5-040</t>
  </si>
  <si>
    <t>TD1F5-041</t>
  </si>
  <si>
    <t>TD1F5-043</t>
  </si>
  <si>
    <t>TD1F5-044</t>
  </si>
  <si>
    <t>TD1F5-045</t>
  </si>
  <si>
    <t>TD1F5-046</t>
  </si>
  <si>
    <t>TD1F5-047</t>
  </si>
  <si>
    <t>TD1F5-048</t>
  </si>
  <si>
    <t>TD1F5-049</t>
  </si>
  <si>
    <t>TD1F5-050</t>
  </si>
  <si>
    <t>TD1F5-051</t>
  </si>
  <si>
    <t>TD1F5-052</t>
  </si>
  <si>
    <t>TD1F5-053</t>
  </si>
  <si>
    <t>TD1F5-056</t>
  </si>
  <si>
    <t>TD1F5-057</t>
  </si>
  <si>
    <t>TD1F5-058</t>
  </si>
  <si>
    <t>TD1F5-059</t>
  </si>
  <si>
    <t>TD1F5-060</t>
  </si>
  <si>
    <t>TD1F5-064</t>
  </si>
  <si>
    <t>TD1F5-074</t>
  </si>
  <si>
    <t>TD1F5-075</t>
  </si>
  <si>
    <t>TD1F5-076</t>
  </si>
  <si>
    <t>TD1F5-077</t>
  </si>
  <si>
    <t>TD1F5-082</t>
  </si>
  <si>
    <t>TD1F5-083</t>
  </si>
  <si>
    <t>TD1F5-084</t>
  </si>
  <si>
    <t>TD1F5-085</t>
  </si>
  <si>
    <t>TD1F5-086</t>
  </si>
  <si>
    <t>TD1F5-089</t>
  </si>
  <si>
    <t>TD1F5-092</t>
  </si>
  <si>
    <t>TD1F5-094</t>
  </si>
  <si>
    <t>TD1F5-102</t>
  </si>
  <si>
    <t>TD1F5-103</t>
  </si>
  <si>
    <t>TD1F5-104</t>
  </si>
  <si>
    <t>TD1F5-105</t>
  </si>
  <si>
    <t>TD1F5-106</t>
  </si>
  <si>
    <t>TD1F5-108</t>
  </si>
  <si>
    <t>TD1F5-109</t>
  </si>
  <si>
    <t>TD1F5-111</t>
  </si>
  <si>
    <t>TD1F5-112</t>
  </si>
  <si>
    <t>TD1F5-114</t>
  </si>
  <si>
    <t>TD1F5-115</t>
  </si>
  <si>
    <t>TD1F5-116</t>
  </si>
  <si>
    <t>TD1F5-117</t>
  </si>
  <si>
    <t>VsILF3_00</t>
  </si>
  <si>
    <t>IL1F2-001</t>
  </si>
  <si>
    <t>IL1F2-002</t>
  </si>
  <si>
    <t>IL1F2-003</t>
  </si>
  <si>
    <t>IL1F2-004</t>
  </si>
  <si>
    <t>IL1F2-005</t>
  </si>
  <si>
    <t>IL1F2-006</t>
  </si>
  <si>
    <t>IL1F2-007</t>
  </si>
  <si>
    <t>IL1F2-008</t>
  </si>
  <si>
    <t>IL1F2-009</t>
  </si>
  <si>
    <t>IL1F2-010</t>
  </si>
  <si>
    <t>IL1F2-011</t>
  </si>
  <si>
    <t>IL1F2-012</t>
  </si>
  <si>
    <t>IL1F2-013</t>
  </si>
  <si>
    <t>IL1F2-014</t>
  </si>
  <si>
    <t>IL1F2-015</t>
  </si>
  <si>
    <t>IL1F2-016</t>
  </si>
  <si>
    <t>IL1F2-017</t>
  </si>
  <si>
    <t>IL1F2-018</t>
  </si>
  <si>
    <t>IL1F2-019</t>
  </si>
  <si>
    <t>IL1F2-020</t>
  </si>
  <si>
    <t>IL1F2-021</t>
  </si>
  <si>
    <t>IL1F2-022</t>
  </si>
  <si>
    <t>IL1F2-023</t>
  </si>
  <si>
    <t>IL1F2-024</t>
  </si>
  <si>
    <t>IL1F2-025</t>
  </si>
  <si>
    <t>IL1F2-026</t>
  </si>
  <si>
    <t>IL1F2-027</t>
  </si>
  <si>
    <t>IL1F2-028</t>
  </si>
  <si>
    <t>IL1F2-030</t>
  </si>
  <si>
    <t>IL1F2-031</t>
  </si>
  <si>
    <t>IL1F2-032</t>
  </si>
  <si>
    <t>IL1F2-033</t>
  </si>
  <si>
    <t>IL1F2-034</t>
  </si>
  <si>
    <t>IL1F2-035</t>
  </si>
  <si>
    <t>IL1F2-036</t>
  </si>
  <si>
    <t>IL1F2-037</t>
  </si>
  <si>
    <t>IL1F2-038</t>
  </si>
  <si>
    <t>IL1F2-039</t>
  </si>
  <si>
    <t>IL1F2-040</t>
  </si>
  <si>
    <t>IL1F2-041</t>
  </si>
  <si>
    <t>IL1F2-042</t>
  </si>
  <si>
    <t>IL1F2-043</t>
  </si>
  <si>
    <t>IL1F2-044</t>
  </si>
  <si>
    <t>IL1F2-045</t>
  </si>
  <si>
    <t>IL1F2-046</t>
  </si>
  <si>
    <t>IL1F2-047</t>
  </si>
  <si>
    <t>IL1F2-049</t>
  </si>
  <si>
    <t>IL1F2-050</t>
  </si>
  <si>
    <t>IL1F2-051</t>
  </si>
  <si>
    <t>IL1F2-052</t>
  </si>
  <si>
    <t>IL1F2-053</t>
  </si>
  <si>
    <t>IL1F2-054</t>
  </si>
  <si>
    <t>IL1F2-055</t>
  </si>
  <si>
    <t>IL1F2-056</t>
  </si>
  <si>
    <t>IL1F2-057</t>
  </si>
  <si>
    <t>IL1F2-059</t>
  </si>
  <si>
    <t>IL1F2-060</t>
  </si>
  <si>
    <t>IL1F2-061</t>
  </si>
  <si>
    <t>IL1F2-063</t>
  </si>
  <si>
    <t>IL1F2-064</t>
  </si>
  <si>
    <t>IL1F2-066</t>
  </si>
  <si>
    <t>IL1F2-068</t>
  </si>
  <si>
    <t>IL1F2-069</t>
  </si>
  <si>
    <t>IL1F2-070</t>
  </si>
  <si>
    <t>IL1F2-072</t>
  </si>
  <si>
    <t>IL1F2-076</t>
  </si>
  <si>
    <t>IL1F2-081</t>
  </si>
  <si>
    <t>IL1F2-082</t>
  </si>
  <si>
    <t>IL1F2-083</t>
  </si>
  <si>
    <t>IL1F2-084</t>
  </si>
  <si>
    <t>IL1F2-085</t>
  </si>
  <si>
    <t>IL1F2-086</t>
  </si>
  <si>
    <t>IL1F2-087</t>
  </si>
  <si>
    <t>IL1F2-088</t>
  </si>
  <si>
    <t>IL1F2-089</t>
  </si>
  <si>
    <t>IL1F2-091</t>
  </si>
  <si>
    <t>IL1F2-092</t>
  </si>
  <si>
    <t>IL1F2-093</t>
  </si>
  <si>
    <t>IL1F2-094</t>
  </si>
  <si>
    <t>IL1F2-096</t>
  </si>
  <si>
    <t>IL1F2-097</t>
  </si>
  <si>
    <t>IL1F2-098</t>
  </si>
  <si>
    <t>IL1F2-099</t>
  </si>
  <si>
    <t>IL1F2-100</t>
  </si>
  <si>
    <t>IL1F2-101</t>
  </si>
  <si>
    <t>IL1F2-102</t>
  </si>
  <si>
    <t>IL1F2-103</t>
  </si>
  <si>
    <t>IL1F2-104</t>
  </si>
  <si>
    <t>IL1F2-105</t>
  </si>
  <si>
    <t>IL1F2-106</t>
  </si>
  <si>
    <t>IL1F2-107</t>
  </si>
  <si>
    <t>IL1F2-108</t>
  </si>
  <si>
    <t>IL1F2-109</t>
  </si>
  <si>
    <t>IL1F2-110</t>
  </si>
  <si>
    <t>IL1F2-111</t>
  </si>
  <si>
    <t>IL1F2-112</t>
  </si>
  <si>
    <t>IL1F2-113</t>
  </si>
  <si>
    <t>IL1F2-114</t>
  </si>
  <si>
    <t>IL1F2-115</t>
  </si>
  <si>
    <t>IL1F2-116</t>
  </si>
  <si>
    <t>IL1F2-117</t>
  </si>
  <si>
    <t>IL1F2-118</t>
  </si>
  <si>
    <t>IL1F2-119</t>
  </si>
  <si>
    <t>IL1F2-120</t>
  </si>
  <si>
    <t>IL1F2-121</t>
  </si>
  <si>
    <t>IL1F2-123</t>
  </si>
  <si>
    <t>IL1F2-124</t>
  </si>
  <si>
    <t>IL1F2-125</t>
  </si>
  <si>
    <t>IL1F2-126</t>
  </si>
  <si>
    <t>IL1F2-127</t>
  </si>
  <si>
    <t>IL1F2-128</t>
  </si>
  <si>
    <t>IL1F2-129</t>
  </si>
  <si>
    <t>IL1F2-131</t>
  </si>
  <si>
    <t>IL1F2-132</t>
  </si>
  <si>
    <t>IL1F2-133</t>
  </si>
  <si>
    <t>IL1F2-134</t>
  </si>
  <si>
    <t>IL1F2-135</t>
  </si>
  <si>
    <t>IL1F2-136</t>
  </si>
  <si>
    <t>IL1F2-137</t>
  </si>
  <si>
    <t>IL1F2-138</t>
  </si>
  <si>
    <t>IL1F2-139</t>
  </si>
  <si>
    <t>IL1F2-140</t>
  </si>
  <si>
    <t>IL1F2-141</t>
  </si>
  <si>
    <t>IL1F2-142</t>
  </si>
  <si>
    <t>IL1F2-143</t>
  </si>
  <si>
    <t>IL1F2-144</t>
  </si>
  <si>
    <t>IL1F2-146</t>
  </si>
  <si>
    <t>IL1F2-147</t>
  </si>
  <si>
    <t>IL1F2-148</t>
  </si>
  <si>
    <t>IL1F2-149</t>
  </si>
  <si>
    <t>IL1F2-151</t>
  </si>
  <si>
    <t>IL1F2-152</t>
  </si>
  <si>
    <t>IL1F2-153</t>
  </si>
  <si>
    <t>IL1F2-154</t>
  </si>
  <si>
    <t>IL1F2-155</t>
  </si>
  <si>
    <t>IL1F2-156</t>
  </si>
  <si>
    <t>IL1F2-157</t>
  </si>
  <si>
    <t>IL1F2-160</t>
  </si>
  <si>
    <t>IL1F2-162</t>
  </si>
  <si>
    <t>IL1F2-163</t>
  </si>
  <si>
    <t>IL1F2-164</t>
  </si>
  <si>
    <t>IL1F2-168</t>
  </si>
  <si>
    <t>IL1F2-169</t>
  </si>
  <si>
    <t>IL1F2-170</t>
  </si>
  <si>
    <t>IL1F2-171</t>
  </si>
  <si>
    <t>IL1F2-173</t>
  </si>
  <si>
    <t>IL1F2-174</t>
  </si>
  <si>
    <t>IL1F2-177</t>
  </si>
  <si>
    <t>IL1F2-180</t>
  </si>
  <si>
    <t>IL1F2-183</t>
  </si>
  <si>
    <t>IL1F2-184</t>
  </si>
  <si>
    <t>IL1F2-185</t>
  </si>
  <si>
    <t>IL1F2-186</t>
  </si>
  <si>
    <t>IL1F2-187</t>
  </si>
  <si>
    <t>IL1F2-188</t>
  </si>
  <si>
    <t>IL1F2-189</t>
  </si>
  <si>
    <t>IL1F2-192</t>
  </si>
  <si>
    <t>IL1F2-193</t>
  </si>
  <si>
    <t>IL1F2-194</t>
  </si>
  <si>
    <t>IL1F2-195</t>
  </si>
  <si>
    <t>IL1F2-196</t>
  </si>
  <si>
    <t>IL1F2-198</t>
  </si>
  <si>
    <t>IL1F2-199</t>
  </si>
  <si>
    <t>IL1F2-203</t>
  </si>
  <si>
    <t>IL1F2-204</t>
  </si>
  <si>
    <t>IL1F2-205</t>
  </si>
  <si>
    <t>IL1F2-206</t>
  </si>
  <si>
    <t>IL1F2-208</t>
  </si>
  <si>
    <t>IL1F2-209</t>
  </si>
  <si>
    <t>IL1F2-210</t>
  </si>
  <si>
    <t>IL1F2-211</t>
  </si>
  <si>
    <t>IL1F2-213</t>
  </si>
  <si>
    <t>IL1F2-219</t>
  </si>
  <si>
    <t>IL1F2-220</t>
  </si>
  <si>
    <t>IL1F2-221</t>
  </si>
  <si>
    <t>IL1F2-223</t>
  </si>
  <si>
    <t>IL1F2-226</t>
  </si>
  <si>
    <t>IL1F2-227</t>
  </si>
  <si>
    <t>IL1F2-229</t>
  </si>
  <si>
    <t>IL1F2-231</t>
  </si>
  <si>
    <t>IL1F2-234</t>
  </si>
  <si>
    <t>IL1F2-235</t>
  </si>
  <si>
    <t>IL1F2-240</t>
  </si>
  <si>
    <t>IL1F2-241</t>
  </si>
  <si>
    <t>IA1F2-001R1</t>
  </si>
  <si>
    <t>IA1F2-001R2</t>
  </si>
  <si>
    <t>IA1F2-010R3</t>
  </si>
  <si>
    <t>IA1F2-011R3</t>
  </si>
  <si>
    <t>IA1F2-010R1</t>
  </si>
  <si>
    <t>IA1F2-011R1</t>
  </si>
  <si>
    <t>IA1F2-010R2</t>
  </si>
  <si>
    <t>IA1F2-011R2</t>
  </si>
  <si>
    <t>AI1F2-031R1</t>
  </si>
  <si>
    <t>AI1F2-031R2</t>
  </si>
  <si>
    <t>AI1F2-032R1</t>
  </si>
  <si>
    <t>AI1F2-032R2</t>
  </si>
  <si>
    <t>SAK1</t>
  </si>
  <si>
    <t>SAK2</t>
  </si>
  <si>
    <t>SAK3</t>
  </si>
  <si>
    <t>SAK4</t>
  </si>
  <si>
    <t>SAK5</t>
  </si>
  <si>
    <t>SAK6</t>
  </si>
  <si>
    <t>SAK7</t>
  </si>
  <si>
    <t>SAK8</t>
  </si>
  <si>
    <t>SAK9</t>
  </si>
  <si>
    <t>SAK10</t>
  </si>
  <si>
    <t>SAK11</t>
  </si>
  <si>
    <t>SAK12</t>
  </si>
  <si>
    <t>SAK13</t>
  </si>
  <si>
    <t>SAK14</t>
  </si>
  <si>
    <t>SAK15</t>
  </si>
  <si>
    <t>SAK16</t>
  </si>
  <si>
    <t>SAK17</t>
  </si>
  <si>
    <t>SAK18</t>
  </si>
  <si>
    <t>SAK19</t>
  </si>
  <si>
    <t>SAK20</t>
  </si>
  <si>
    <t>SAK21</t>
  </si>
  <si>
    <t>SAK22</t>
  </si>
  <si>
    <t>SAK23</t>
  </si>
  <si>
    <t>SAK24</t>
  </si>
  <si>
    <t>SAK25</t>
  </si>
  <si>
    <t>SAK26</t>
  </si>
  <si>
    <t>SAK27</t>
  </si>
  <si>
    <t>SAK28</t>
  </si>
  <si>
    <t>SAK29</t>
  </si>
  <si>
    <t>SAK30</t>
  </si>
  <si>
    <t>SAK31</t>
  </si>
  <si>
    <t>SAK32</t>
  </si>
  <si>
    <t>SAK33</t>
  </si>
  <si>
    <t>SAK34</t>
  </si>
  <si>
    <t>SAK35</t>
  </si>
  <si>
    <t>SAK36</t>
  </si>
  <si>
    <t>SAK37</t>
  </si>
  <si>
    <t>SAK38</t>
  </si>
  <si>
    <t>SAK39</t>
  </si>
  <si>
    <t>SAK40</t>
  </si>
  <si>
    <t>SAK41</t>
  </si>
  <si>
    <t>SAK42</t>
  </si>
  <si>
    <t>SAK43</t>
  </si>
  <si>
    <t>SAK44</t>
  </si>
  <si>
    <t>SAK45</t>
  </si>
  <si>
    <t>SAK46</t>
  </si>
  <si>
    <t>SAK47</t>
  </si>
  <si>
    <t>SAK48</t>
  </si>
  <si>
    <t>SAK49</t>
  </si>
  <si>
    <t>SAK50</t>
  </si>
  <si>
    <t>SAK51</t>
  </si>
  <si>
    <t>SAK52</t>
  </si>
  <si>
    <t>SAK53</t>
  </si>
  <si>
    <t>SAK54</t>
  </si>
  <si>
    <t>SAK55</t>
  </si>
  <si>
    <t>SAK56</t>
  </si>
  <si>
    <t>SAK57</t>
  </si>
  <si>
    <t>SAK58</t>
  </si>
  <si>
    <t>SAK59</t>
  </si>
  <si>
    <t>SAK60</t>
  </si>
  <si>
    <t>SAK61</t>
  </si>
  <si>
    <t>SAK62</t>
  </si>
  <si>
    <t>SAK63</t>
  </si>
  <si>
    <t>SAK64</t>
  </si>
  <si>
    <t>SAK65</t>
  </si>
  <si>
    <t>SAK66</t>
  </si>
  <si>
    <t>SAK67</t>
  </si>
  <si>
    <t>SAK68</t>
  </si>
  <si>
    <t>SAK69</t>
  </si>
  <si>
    <t>SAK70</t>
  </si>
  <si>
    <t>SAK71</t>
  </si>
  <si>
    <t>SAK72</t>
  </si>
  <si>
    <t>SAK73</t>
  </si>
  <si>
    <t>SAK74</t>
  </si>
  <si>
    <t>SAK75</t>
  </si>
  <si>
    <t>SAK76</t>
  </si>
  <si>
    <t>SAK77</t>
  </si>
  <si>
    <t>SAK78</t>
  </si>
  <si>
    <t>SAK79</t>
  </si>
  <si>
    <t>SAK80</t>
  </si>
  <si>
    <t>SAK81</t>
  </si>
  <si>
    <t>SAK82</t>
  </si>
  <si>
    <t>SAK83</t>
  </si>
  <si>
    <t>SAK84</t>
  </si>
  <si>
    <t>SAK85</t>
  </si>
  <si>
    <t>SAK86</t>
  </si>
  <si>
    <t>SAK87</t>
  </si>
  <si>
    <t>SAK88</t>
  </si>
  <si>
    <t>SAK89</t>
  </si>
  <si>
    <t>SAK90</t>
  </si>
  <si>
    <t>SAK91</t>
  </si>
  <si>
    <t>SAK92</t>
  </si>
  <si>
    <t>SAK93</t>
  </si>
  <si>
    <t>SAK94</t>
  </si>
  <si>
    <t>SAK95</t>
  </si>
  <si>
    <t>SAK96</t>
  </si>
  <si>
    <t>SAK97</t>
  </si>
  <si>
    <t>SAK98</t>
  </si>
  <si>
    <t>SAK99</t>
  </si>
  <si>
    <t>SAK100</t>
  </si>
  <si>
    <t>SAK101</t>
  </si>
  <si>
    <t>SAK102</t>
  </si>
  <si>
    <t>SAK103</t>
  </si>
  <si>
    <t>SAK104</t>
  </si>
  <si>
    <t>SAK105</t>
  </si>
  <si>
    <t>SAK106</t>
  </si>
  <si>
    <t>SAK107</t>
  </si>
  <si>
    <t>SAK108</t>
  </si>
  <si>
    <t>SAK109</t>
  </si>
  <si>
    <t>SAK110</t>
  </si>
  <si>
    <t>SAK111</t>
  </si>
  <si>
    <t>SAK112</t>
  </si>
  <si>
    <t>SAK113</t>
  </si>
  <si>
    <t>SAK114</t>
  </si>
  <si>
    <t>SAK115</t>
  </si>
  <si>
    <t>SAK116</t>
  </si>
  <si>
    <t>SAK117</t>
  </si>
  <si>
    <t>SAK118</t>
  </si>
  <si>
    <t>SAK120</t>
  </si>
  <si>
    <t>SAK121</t>
  </si>
  <si>
    <t>SAK122</t>
  </si>
  <si>
    <t>SAK123</t>
  </si>
  <si>
    <t>SAK124</t>
  </si>
  <si>
    <t>SAK125</t>
  </si>
  <si>
    <t>SAK126</t>
  </si>
  <si>
    <t>SAK127</t>
  </si>
  <si>
    <t>SAK128</t>
  </si>
  <si>
    <t>SAK129</t>
  </si>
  <si>
    <t>SAK130</t>
  </si>
  <si>
    <t>SAK131</t>
  </si>
  <si>
    <t>SAK132</t>
  </si>
  <si>
    <t>SAK133</t>
  </si>
  <si>
    <t>SAK134</t>
  </si>
  <si>
    <t>SAK135</t>
  </si>
  <si>
    <t>SAK136</t>
  </si>
  <si>
    <t>SAK137</t>
  </si>
  <si>
    <t>SAK138</t>
  </si>
  <si>
    <t>SAK139</t>
  </si>
  <si>
    <t>SAK140</t>
  </si>
  <si>
    <t>SAK141</t>
  </si>
  <si>
    <t>SAK142</t>
  </si>
  <si>
    <t>SAK143</t>
  </si>
  <si>
    <t>SAK144</t>
  </si>
  <si>
    <t>SAK145</t>
  </si>
  <si>
    <t>SAK146</t>
  </si>
  <si>
    <t>SAK147</t>
  </si>
  <si>
    <t>SAK148</t>
  </si>
  <si>
    <t>SAK149</t>
  </si>
  <si>
    <t>SAK150</t>
  </si>
  <si>
    <t>SAK151</t>
  </si>
  <si>
    <t>SAK152</t>
  </si>
  <si>
    <t>SAK153</t>
  </si>
  <si>
    <t>SAK154</t>
  </si>
  <si>
    <t>SAK155</t>
  </si>
  <si>
    <t>SAK156</t>
  </si>
  <si>
    <t>SAK157</t>
  </si>
  <si>
    <t>SAK158</t>
  </si>
  <si>
    <t>SAK159</t>
  </si>
  <si>
    <t>SAK160</t>
  </si>
  <si>
    <t>SAK161</t>
  </si>
  <si>
    <t>SAK162</t>
  </si>
  <si>
    <t>SAK163</t>
  </si>
  <si>
    <t>SAK164</t>
  </si>
  <si>
    <t>SAK165</t>
  </si>
  <si>
    <t>SAK166</t>
  </si>
  <si>
    <t>SAK167</t>
  </si>
  <si>
    <t>SAK168</t>
  </si>
  <si>
    <t>SAK169</t>
  </si>
  <si>
    <t>SAK170</t>
  </si>
  <si>
    <t>SAK171</t>
  </si>
  <si>
    <t>SAK172</t>
  </si>
  <si>
    <t>SAK173</t>
  </si>
  <si>
    <t>SAK174</t>
  </si>
  <si>
    <t>SAK175</t>
  </si>
  <si>
    <t>SAK176</t>
  </si>
  <si>
    <t>SAK177</t>
  </si>
  <si>
    <t>SAK178</t>
  </si>
  <si>
    <t>SAK179</t>
  </si>
  <si>
    <t>SAK1800</t>
  </si>
  <si>
    <t>SAK181</t>
  </si>
  <si>
    <t>SAK182</t>
  </si>
  <si>
    <t>SAK183</t>
  </si>
  <si>
    <t>SAK184</t>
  </si>
  <si>
    <t>SAK185</t>
  </si>
  <si>
    <t>SAK186</t>
  </si>
  <si>
    <t>SAK187</t>
  </si>
  <si>
    <t>SAK188</t>
  </si>
  <si>
    <t>SAK189</t>
  </si>
  <si>
    <t>SAK190</t>
  </si>
  <si>
    <t>SAK191</t>
  </si>
  <si>
    <t>SAK192</t>
  </si>
  <si>
    <t>SAK193</t>
  </si>
  <si>
    <t>SAK194</t>
  </si>
  <si>
    <t>SAK195</t>
  </si>
  <si>
    <t>SAK196</t>
  </si>
  <si>
    <t>SAK197</t>
  </si>
  <si>
    <t>SAK198</t>
  </si>
  <si>
    <t>SAK199</t>
  </si>
  <si>
    <t>SAK200</t>
  </si>
  <si>
    <t>SAK201</t>
  </si>
  <si>
    <t>SAK202</t>
  </si>
  <si>
    <t>SAK203</t>
  </si>
  <si>
    <t>SAK204</t>
  </si>
  <si>
    <t>SAK205</t>
  </si>
  <si>
    <t>SAK206</t>
  </si>
  <si>
    <t>SAK207</t>
  </si>
  <si>
    <t>SAK208</t>
  </si>
  <si>
    <t>SAK209</t>
  </si>
  <si>
    <t>SAK210</t>
  </si>
  <si>
    <t>SAK211</t>
  </si>
  <si>
    <t>SAK212</t>
  </si>
  <si>
    <t>SAK213</t>
  </si>
  <si>
    <t>SAK214</t>
  </si>
  <si>
    <t>SAK215</t>
  </si>
  <si>
    <t>SAK216</t>
  </si>
  <si>
    <t>SAK217</t>
  </si>
  <si>
    <t>SAK218</t>
  </si>
  <si>
    <t>SAK219</t>
  </si>
  <si>
    <t>SAK220</t>
  </si>
  <si>
    <t>SAK221</t>
  </si>
  <si>
    <t>SAK222</t>
  </si>
  <si>
    <t>SAK223</t>
  </si>
  <si>
    <t>SAK224</t>
  </si>
  <si>
    <t>SAK225</t>
  </si>
  <si>
    <t>SAK226</t>
  </si>
  <si>
    <t>SAK227</t>
  </si>
  <si>
    <t>SAK228</t>
  </si>
  <si>
    <t>SAK229</t>
  </si>
  <si>
    <t>SAK230</t>
  </si>
  <si>
    <t>SAK231</t>
  </si>
  <si>
    <t>SAK232</t>
  </si>
  <si>
    <t>SAK233</t>
  </si>
  <si>
    <t>SAK234</t>
  </si>
  <si>
    <t>SAK235</t>
  </si>
  <si>
    <t>SAK236</t>
  </si>
  <si>
    <t>SAK237</t>
  </si>
  <si>
    <t>SAK238</t>
  </si>
  <si>
    <t>SAK239</t>
  </si>
  <si>
    <t>SAK240</t>
  </si>
  <si>
    <t>SAK241</t>
  </si>
  <si>
    <t>SAK242</t>
  </si>
  <si>
    <t>SAK243</t>
  </si>
  <si>
    <t>SAK244</t>
  </si>
  <si>
    <t>SAK245</t>
  </si>
  <si>
    <t>SAK246</t>
  </si>
  <si>
    <t>SAK247</t>
  </si>
  <si>
    <t>SAK248</t>
  </si>
  <si>
    <t>SAK249</t>
  </si>
  <si>
    <t>SAK250</t>
  </si>
  <si>
    <t>SAK251</t>
  </si>
  <si>
    <t>SAK252</t>
  </si>
  <si>
    <t>SAK253</t>
  </si>
  <si>
    <t>SAK254</t>
  </si>
  <si>
    <t>SAK255</t>
  </si>
  <si>
    <t>SAK256</t>
  </si>
  <si>
    <t>SAK257</t>
  </si>
  <si>
    <t>SAK258</t>
  </si>
  <si>
    <t>SAK259</t>
  </si>
  <si>
    <t>SAK260</t>
  </si>
  <si>
    <t>SAK261</t>
  </si>
  <si>
    <t>SAK262</t>
  </si>
  <si>
    <t>SAK263</t>
  </si>
  <si>
    <t>SAK264</t>
  </si>
  <si>
    <t>SAK265</t>
  </si>
  <si>
    <t>SAK266</t>
  </si>
  <si>
    <t>SAK267</t>
  </si>
  <si>
    <t>SAK297</t>
  </si>
  <si>
    <t>SAK317</t>
  </si>
  <si>
    <t>SAK323</t>
  </si>
  <si>
    <t>SAK324</t>
  </si>
  <si>
    <t>DCAK89</t>
  </si>
  <si>
    <t>DCAK91</t>
  </si>
  <si>
    <t>DCAK94</t>
  </si>
  <si>
    <t>DCAK97</t>
  </si>
  <si>
    <t>DCAK98</t>
  </si>
  <si>
    <t>DCAK99</t>
  </si>
  <si>
    <t>DipC x AK 4</t>
  </si>
  <si>
    <t>SA1F2-001</t>
  </si>
  <si>
    <t>SA1F2-002</t>
  </si>
  <si>
    <t>SA1F2-003</t>
  </si>
  <si>
    <t>SA1F2-004</t>
  </si>
  <si>
    <t>SA1F2-005</t>
  </si>
  <si>
    <t>SA1F2-006</t>
  </si>
  <si>
    <t>SA1F2-007</t>
  </si>
  <si>
    <t>SA1F2-008</t>
  </si>
  <si>
    <t>SA1F2-009</t>
  </si>
  <si>
    <t>SA1F2-010</t>
  </si>
  <si>
    <t>SA1F2-011</t>
  </si>
  <si>
    <t>SA1F2-012</t>
  </si>
  <si>
    <t>SA1F2-013</t>
  </si>
  <si>
    <t>SA1F2-014</t>
  </si>
  <si>
    <t>SA1F2-015</t>
  </si>
  <si>
    <t>SA1F2-016</t>
  </si>
  <si>
    <t>SA1F2-017</t>
  </si>
  <si>
    <t>SA1F2-018</t>
  </si>
  <si>
    <t>SA1F2-019</t>
  </si>
  <si>
    <t>SA1F2-020</t>
  </si>
  <si>
    <t>SA1F2-021</t>
  </si>
  <si>
    <t>SA1F2-022</t>
  </si>
  <si>
    <t>SA1F2-023</t>
  </si>
  <si>
    <t>SA1F2-024</t>
  </si>
  <si>
    <t>SA1F2-025</t>
  </si>
  <si>
    <t>SA1F2-026</t>
  </si>
  <si>
    <t>SA1F2-027</t>
  </si>
  <si>
    <t>SA1F2-028</t>
  </si>
  <si>
    <t>SA1F2-029</t>
  </si>
  <si>
    <t>SA1F2-030</t>
  </si>
  <si>
    <t>SA1F2-031</t>
  </si>
  <si>
    <t>SA1F2-032</t>
  </si>
  <si>
    <t>SA1F2-033</t>
  </si>
  <si>
    <t>SA1F2-034</t>
  </si>
  <si>
    <t>SA1F2-035</t>
  </si>
  <si>
    <t>SA1F2-036</t>
  </si>
  <si>
    <t>SA1F2-037</t>
  </si>
  <si>
    <t>SA1F2-038</t>
  </si>
  <si>
    <t>SA1F2-039</t>
  </si>
  <si>
    <t>SA1F2-040</t>
  </si>
  <si>
    <t>SA1F2-041</t>
  </si>
  <si>
    <t>SA1F2-042</t>
  </si>
  <si>
    <t>SA1F2-043</t>
  </si>
  <si>
    <t>SA1F2-044</t>
  </si>
  <si>
    <t>SA1F2-045</t>
  </si>
  <si>
    <t>SA1F2-046</t>
  </si>
  <si>
    <t>SA1F2-047</t>
  </si>
  <si>
    <t>SA1F2-048</t>
  </si>
  <si>
    <t>SA1F2-049</t>
  </si>
  <si>
    <t>SA1F2-050</t>
  </si>
  <si>
    <t>SA1F2-051</t>
  </si>
  <si>
    <t>SA1F2-052</t>
  </si>
  <si>
    <t>SA1F2-053</t>
  </si>
  <si>
    <t>SA1F2-054</t>
  </si>
  <si>
    <t>SA1F2-055</t>
  </si>
  <si>
    <t>SA1F2-056</t>
  </si>
  <si>
    <t>SA1F2-057</t>
  </si>
  <si>
    <t>SA1F2-058</t>
  </si>
  <si>
    <t>SA1F2-059</t>
  </si>
  <si>
    <t>SA1F2-060</t>
  </si>
  <si>
    <t>SA1F2-061</t>
  </si>
  <si>
    <t>SA1F2-062</t>
  </si>
  <si>
    <t>SA1F2-063</t>
  </si>
  <si>
    <t>SA1F2-064</t>
  </si>
  <si>
    <t>SA1F2-065</t>
  </si>
  <si>
    <t>SA1F2-066</t>
  </si>
  <si>
    <t>SA1F2-067</t>
  </si>
  <si>
    <t>SA1F2-068</t>
  </si>
  <si>
    <t>SA1F2-069</t>
  </si>
  <si>
    <t>SA1F2-070</t>
  </si>
  <si>
    <t>SA1F2-071</t>
  </si>
  <si>
    <t>SA1F2-072</t>
  </si>
  <si>
    <t>SA1F2-073</t>
  </si>
  <si>
    <t>SA1F2-074</t>
  </si>
  <si>
    <t>SA1F2-075</t>
  </si>
  <si>
    <t>SA1F2-076</t>
  </si>
  <si>
    <t>SA1F2-077</t>
  </si>
  <si>
    <t>SA1F2-078</t>
  </si>
  <si>
    <t>SA1F2-079</t>
  </si>
  <si>
    <t>SA1F2-080</t>
  </si>
  <si>
    <t>SA1F2-081</t>
  </si>
  <si>
    <t>SA1F2-082</t>
  </si>
  <si>
    <t>SA1F2-083</t>
  </si>
  <si>
    <t>SA1F2-084</t>
  </si>
  <si>
    <t>SA1F2-085</t>
  </si>
  <si>
    <t>SA1F2-086</t>
  </si>
  <si>
    <t>SA1F2-087</t>
  </si>
  <si>
    <t>SA1F2-088</t>
  </si>
  <si>
    <t>SA1F2-089</t>
  </si>
  <si>
    <t>SA1F2-090</t>
  </si>
  <si>
    <t>SA1F2-091</t>
  </si>
  <si>
    <t>SA1F2-092</t>
  </si>
  <si>
    <t>SA1F2-093</t>
  </si>
  <si>
    <t>SA1F2-094</t>
  </si>
  <si>
    <t>SA1F2-095</t>
  </si>
  <si>
    <t>SA1F2-096</t>
  </si>
  <si>
    <t>SA1F2-097</t>
  </si>
  <si>
    <t>SA1F2-098</t>
  </si>
  <si>
    <t>SA1F2-099</t>
  </si>
  <si>
    <t>SA1F2-100</t>
  </si>
  <si>
    <t>SA1F2-101</t>
  </si>
  <si>
    <t>SA1F2-102</t>
  </si>
  <si>
    <t>SA1F2-103</t>
  </si>
  <si>
    <t>SA1F2-104</t>
  </si>
  <si>
    <t>SA1F2-105</t>
  </si>
  <si>
    <t>SA1F2-106</t>
  </si>
  <si>
    <t>SA1F2-107</t>
  </si>
  <si>
    <t>SA1F2-108</t>
  </si>
  <si>
    <t>SA1F2-109</t>
  </si>
  <si>
    <t>SA1F2-110</t>
  </si>
  <si>
    <t>SA1F2-111</t>
  </si>
  <si>
    <t>SA1F2-112</t>
  </si>
  <si>
    <t>SA1F2-113</t>
  </si>
  <si>
    <t>SA1F2-114</t>
  </si>
  <si>
    <t>SA1F2-115</t>
  </si>
  <si>
    <t>SA1F2-116</t>
  </si>
  <si>
    <t>SA1F2-117</t>
  </si>
  <si>
    <t>SA1F2-118</t>
  </si>
  <si>
    <t>SA1F2-120</t>
  </si>
  <si>
    <t>SA1F2-121</t>
  </si>
  <si>
    <t>SA1F2-122</t>
  </si>
  <si>
    <t>SA1F2-123</t>
  </si>
  <si>
    <t>SA1F2-124</t>
  </si>
  <si>
    <t>SA1F2-125</t>
  </si>
  <si>
    <t>SA1F2-126</t>
  </si>
  <si>
    <t>SA1F2-127</t>
  </si>
  <si>
    <t>SA1F2-128</t>
  </si>
  <si>
    <t>SA1F2-129</t>
  </si>
  <si>
    <t>SA1F2-130</t>
  </si>
  <si>
    <t>SA1F2-131</t>
  </si>
  <si>
    <t>SA1F2-132</t>
  </si>
  <si>
    <t>SA1F2-133</t>
  </si>
  <si>
    <t>SA1F2-134</t>
  </si>
  <si>
    <t>SA1F2-135</t>
  </si>
  <si>
    <t>SA1F2-136</t>
  </si>
  <si>
    <t>SA1F2-137</t>
  </si>
  <si>
    <t>SA1F2-138</t>
  </si>
  <si>
    <t>SA1F2-139</t>
  </si>
  <si>
    <t>SA1F2-140</t>
  </si>
  <si>
    <t>SA1F2-141</t>
  </si>
  <si>
    <t>SA1F2-142</t>
  </si>
  <si>
    <t>SA1F2-143</t>
  </si>
  <si>
    <t>SA1F2-144</t>
  </si>
  <si>
    <t>SA1F2-145</t>
  </si>
  <si>
    <t>SA1F2-146</t>
  </si>
  <si>
    <t>SA1F2-147</t>
  </si>
  <si>
    <t>SA1F2-148</t>
  </si>
  <si>
    <t>SA1F2-149</t>
  </si>
  <si>
    <t>SA1F2-150</t>
  </si>
  <si>
    <t>SA1F2-151</t>
  </si>
  <si>
    <t>SA1F2-152</t>
  </si>
  <si>
    <t>SA1F2-153</t>
  </si>
  <si>
    <t>SA1F2-154</t>
  </si>
  <si>
    <t>SA1F2-155</t>
  </si>
  <si>
    <t>SA1F2-156</t>
  </si>
  <si>
    <t>SA1F2-157</t>
  </si>
  <si>
    <t>SA1F2-158</t>
  </si>
  <si>
    <t>SA1F2-159</t>
  </si>
  <si>
    <t>SA1F2-160</t>
  </si>
  <si>
    <t>SA1F2-161</t>
  </si>
  <si>
    <t>SA1F2-162</t>
  </si>
  <si>
    <t>SA1F2-163</t>
  </si>
  <si>
    <t>SA1F2-164</t>
  </si>
  <si>
    <t>SA1F2-165</t>
  </si>
  <si>
    <t>SA1F2-166</t>
  </si>
  <si>
    <t>SA1F2-167</t>
  </si>
  <si>
    <t>SA1F2-168</t>
  </si>
  <si>
    <t>SA1F2-169</t>
  </si>
  <si>
    <t>SA1F2-170</t>
  </si>
  <si>
    <t>SA1F2-171</t>
  </si>
  <si>
    <t>SA1F2-172</t>
  </si>
  <si>
    <t>SA1F2-173</t>
  </si>
  <si>
    <t>SA1F2-174</t>
  </si>
  <si>
    <t>SA1F2-175</t>
  </si>
  <si>
    <t>SA1F2-176</t>
  </si>
  <si>
    <t>SA1F2-177</t>
  </si>
  <si>
    <t>SA1F2-178</t>
  </si>
  <si>
    <t>SA1F2-179</t>
  </si>
  <si>
    <t>SA1F2-181</t>
  </si>
  <si>
    <t>SA1F2-182</t>
  </si>
  <si>
    <t>SA1F2-183</t>
  </si>
  <si>
    <t>SA1F2-184</t>
  </si>
  <si>
    <t>SA1F2-185</t>
  </si>
  <si>
    <t>SA1F2-186</t>
  </si>
  <si>
    <t>SA1F2-187</t>
  </si>
  <si>
    <t>SA1F2-188</t>
  </si>
  <si>
    <t>SA1F2-189</t>
  </si>
  <si>
    <t>SA1F2-190</t>
  </si>
  <si>
    <t>SA1F2-191</t>
  </si>
  <si>
    <t>SA1F2-192</t>
  </si>
  <si>
    <t>SA1F2-193</t>
  </si>
  <si>
    <t>SA1F2-194</t>
  </si>
  <si>
    <t>SA1F2-195</t>
  </si>
  <si>
    <t>SA1F2-196</t>
  </si>
  <si>
    <t>SA1F2-197</t>
  </si>
  <si>
    <t>SA1F2-198</t>
  </si>
  <si>
    <t>SA1F2-199</t>
  </si>
  <si>
    <t>SA1F2-200</t>
  </si>
  <si>
    <t>SA1F2-201</t>
  </si>
  <si>
    <t>SA1F2-202</t>
  </si>
  <si>
    <t>SA1F2-203</t>
  </si>
  <si>
    <t>SA1F2-204</t>
  </si>
  <si>
    <t>SA1F2-205</t>
  </si>
  <si>
    <t>SA1F2-206</t>
  </si>
  <si>
    <t>SA1F2-207</t>
  </si>
  <si>
    <t>SA1F2-208</t>
  </si>
  <si>
    <t>SA1F2-209</t>
  </si>
  <si>
    <t>SA1F2-210</t>
  </si>
  <si>
    <t>SA1F2-211</t>
  </si>
  <si>
    <t>SA1F2-212</t>
  </si>
  <si>
    <t>SA1F2-213</t>
  </si>
  <si>
    <t>SA1F2-214</t>
  </si>
  <si>
    <t>SA1F2-215</t>
  </si>
  <si>
    <t>SA1F2-216</t>
  </si>
  <si>
    <t>SA1F2-217</t>
  </si>
  <si>
    <t>SA1F2-218</t>
  </si>
  <si>
    <t>SA1F2-219</t>
  </si>
  <si>
    <t>SA1F2-220</t>
  </si>
  <si>
    <t>SA1F2-221</t>
  </si>
  <si>
    <t>SA1F2-222</t>
  </si>
  <si>
    <t>SA1F2-223</t>
  </si>
  <si>
    <t>SA1F2-224</t>
  </si>
  <si>
    <t>SA1F2-225</t>
  </si>
  <si>
    <t>SA1F2-226</t>
  </si>
  <si>
    <t>SA1F2-227</t>
  </si>
  <si>
    <t>SA1F2-228</t>
  </si>
  <si>
    <t>SA1F2-229</t>
  </si>
  <si>
    <t>SA1F2-230</t>
  </si>
  <si>
    <t>SA1F2-231</t>
  </si>
  <si>
    <t>SA1F2-232</t>
  </si>
  <si>
    <t>SA1F2-233</t>
  </si>
  <si>
    <t>SA1F2-234</t>
  </si>
  <si>
    <t>SA1F2-235</t>
  </si>
  <si>
    <t>SA1F2-236</t>
  </si>
  <si>
    <t>SA1F2-237</t>
  </si>
  <si>
    <t>SA1F2-238</t>
  </si>
  <si>
    <t>SA1F2-239</t>
  </si>
  <si>
    <t>SA1F2-240</t>
  </si>
  <si>
    <t>SA1F2-241</t>
  </si>
  <si>
    <t>SA1F2-242</t>
  </si>
  <si>
    <t>SA1F2-243</t>
  </si>
  <si>
    <t>SA1F2-244</t>
  </si>
  <si>
    <t>SA1F2-245</t>
  </si>
  <si>
    <t>SA1F2-246</t>
  </si>
  <si>
    <t>SA1F2-247</t>
  </si>
  <si>
    <t>SA1F2-248</t>
  </si>
  <si>
    <t>SA1F2-249</t>
  </si>
  <si>
    <t>SA1F2-250</t>
  </si>
  <si>
    <t>SA1F2-251</t>
  </si>
  <si>
    <t>SA1F2-252</t>
  </si>
  <si>
    <t>SA1F2-253</t>
  </si>
  <si>
    <t>SA1F2-254</t>
  </si>
  <si>
    <t>SA1F2-255</t>
  </si>
  <si>
    <t>SA1F2-256</t>
  </si>
  <si>
    <t>SA1F2-257</t>
  </si>
  <si>
    <t>SA1F2-258</t>
  </si>
  <si>
    <t>SA1F2-259</t>
  </si>
  <si>
    <t>SA1F2-260</t>
  </si>
  <si>
    <t>SA1F2-261</t>
  </si>
  <si>
    <t>SA1F2-262</t>
  </si>
  <si>
    <t>SA1F2-263</t>
  </si>
  <si>
    <t>SA1F2-264</t>
  </si>
  <si>
    <t>SA1F2-265</t>
  </si>
  <si>
    <t>SA1F2-266</t>
  </si>
  <si>
    <t>SA1F2-267</t>
  </si>
  <si>
    <t>SA1F2-1800</t>
  </si>
  <si>
    <t>SA1F2-297</t>
  </si>
  <si>
    <t>SA1F2-317</t>
  </si>
  <si>
    <t>SA1F2-323</t>
  </si>
  <si>
    <t>SA1F2-324</t>
  </si>
  <si>
    <t>corresponding to Vs</t>
  </si>
  <si>
    <t>Materials</t>
  </si>
  <si>
    <t>TD1F5</t>
  </si>
  <si>
    <t xml:space="preserve">Version </t>
  </si>
  <si>
    <t xml:space="preserve">published at </t>
  </si>
  <si>
    <t>doi: 10.3390/genes8020084.</t>
  </si>
  <si>
    <t>TVSu0001aSPD1</t>
  </si>
  <si>
    <t>TVSu0002aSPD1</t>
  </si>
  <si>
    <t>TVSu0003aSPD1</t>
  </si>
  <si>
    <t>TVSu0006aSPD1</t>
  </si>
  <si>
    <t>TVSu0007aSPD1</t>
  </si>
  <si>
    <t>TVSu0008aSPD1</t>
  </si>
  <si>
    <t>TVSu0009aSPD1</t>
  </si>
  <si>
    <t>TVSu0010aSPD1</t>
  </si>
  <si>
    <t>TVSu0012aSPD1</t>
  </si>
  <si>
    <t>TVSu0014aSPD1</t>
  </si>
  <si>
    <t>TVSu0017aSPD1</t>
  </si>
  <si>
    <t>TVSu0022aSPD1</t>
  </si>
  <si>
    <t>TVSu0025aSPD1</t>
  </si>
  <si>
    <t>TVSu0029aSPD1</t>
  </si>
  <si>
    <t>TVSu0046aSPD1</t>
  </si>
  <si>
    <t>TVSu0047aSPD1</t>
  </si>
  <si>
    <t>TVSu0050aSPD1</t>
  </si>
  <si>
    <t>TVSu0066aSPD1</t>
  </si>
  <si>
    <t>TVSu0075aSPD1</t>
  </si>
  <si>
    <t>TVSu0082aSPD1</t>
  </si>
  <si>
    <t>TVSu0085aSPD1</t>
  </si>
  <si>
    <t>TVSu0086aSPD1</t>
  </si>
  <si>
    <t>TVSu0087aSPD1</t>
  </si>
  <si>
    <t>TVSu0094aSPD1</t>
  </si>
  <si>
    <t>TVSu0103aSPD1</t>
  </si>
  <si>
    <t>TVSu0110aSPD1</t>
  </si>
  <si>
    <t>TVSu0112aSPD1</t>
  </si>
  <si>
    <t>TVSu0115aSPD1</t>
  </si>
  <si>
    <t>TVSu0116aSPD1</t>
  </si>
  <si>
    <t>TVSu0118aSPD1</t>
  </si>
  <si>
    <t>TVSu0125aSPD1</t>
  </si>
  <si>
    <t>TVSu0129aSPD1</t>
  </si>
  <si>
    <t>TVSu0130aSPD1</t>
  </si>
  <si>
    <t>TVSu0137aSPD1</t>
  </si>
  <si>
    <t>TVSu0143aSPD1</t>
  </si>
  <si>
    <t>TVSu0144aSPD1</t>
  </si>
  <si>
    <t>TVSu0145aSPD1</t>
  </si>
  <si>
    <t>TVSu0146aSPD1</t>
  </si>
  <si>
    <t>TVSu0151aSPD1</t>
  </si>
  <si>
    <t>TVSu0154aSPD1</t>
  </si>
  <si>
    <t>TVSu0155aSPD1</t>
  </si>
  <si>
    <t>TVSu0156aSPD1</t>
  </si>
  <si>
    <t>TVSu0158aSPD1</t>
  </si>
  <si>
    <t>TVSu0160aSPD1</t>
  </si>
  <si>
    <t>TVSu0161aSPD1</t>
  </si>
  <si>
    <t>TVSu0164aSPD1</t>
  </si>
  <si>
    <t>TVSu0167aSPD1</t>
  </si>
  <si>
    <t>TVSu0170aSPD1</t>
  </si>
  <si>
    <t>TVSu0171aSPD1</t>
  </si>
  <si>
    <t>TVSu0174aSPD1</t>
  </si>
  <si>
    <t>TVSu0182aSPD1</t>
  </si>
  <si>
    <t>TVSu0183aSPD1</t>
  </si>
  <si>
    <t>TVSu0186aSPD1</t>
  </si>
  <si>
    <t>TVSu0188aSPD1</t>
  </si>
  <si>
    <t>TVSu0189aSPD1</t>
  </si>
  <si>
    <t>TVSu0193aSPD1</t>
  </si>
  <si>
    <t>TVSu0194aSPD1</t>
  </si>
  <si>
    <t>TVSu0200aSPD1</t>
  </si>
  <si>
    <t>TVSu0203aSPD1</t>
  </si>
  <si>
    <t>TVSu0214aSPD1</t>
  </si>
  <si>
    <t>TVSu0215aSPD1</t>
  </si>
  <si>
    <t>TVSu0221aSPD1</t>
  </si>
  <si>
    <t>TVSu0222aSPD1</t>
  </si>
  <si>
    <t>TVSu0224aSPD1</t>
  </si>
  <si>
    <t>TVSu0225aSPD1</t>
  </si>
  <si>
    <t>TVSu0229aSPD1</t>
  </si>
  <si>
    <t>TVSu0231aSPD1</t>
  </si>
  <si>
    <t>TVSu0232aSPD1</t>
  </si>
  <si>
    <t>TVSu0233aSPD1</t>
  </si>
  <si>
    <t>TVSu0234aSPD1</t>
  </si>
  <si>
    <t>TVSu0236aSPD1</t>
  </si>
  <si>
    <t>TVSu0244aSPD1</t>
  </si>
  <si>
    <t>TVSu0245aSPD1</t>
  </si>
  <si>
    <t>TVSu0247aSPD1</t>
  </si>
  <si>
    <t>TVSu0258aSPD1</t>
  </si>
  <si>
    <t>TVSu0262aSPD1</t>
  </si>
  <si>
    <t>TVSu0265aSPD1</t>
  </si>
  <si>
    <t>TVSu0266aSPD1</t>
  </si>
  <si>
    <t>TVSu0267aSPD1</t>
  </si>
  <si>
    <t>TVSu0269aSPD1</t>
  </si>
  <si>
    <t>TVSu0275aSPD1</t>
  </si>
  <si>
    <t>TVSu0277aSPD1</t>
  </si>
  <si>
    <t>TVSu0280aSPD1</t>
  </si>
  <si>
    <t>TVSu0282aSPD1</t>
  </si>
  <si>
    <t>TVSu0283aSPD1</t>
  </si>
  <si>
    <t>TVSu0286aSPD1</t>
  </si>
  <si>
    <t>TVSu0288aSPD1</t>
  </si>
  <si>
    <t>TVSu0292aSPD1</t>
  </si>
  <si>
    <t>TVSu0293aSPD1</t>
  </si>
  <si>
    <t>TVSu0295aSPD1</t>
  </si>
  <si>
    <t>TVSu0297aSPD1</t>
  </si>
  <si>
    <t>TVSu0308aSPD1</t>
  </si>
  <si>
    <t>TVSu0310aSPD1</t>
  </si>
  <si>
    <t>TVSu0311aSPD1</t>
  </si>
  <si>
    <t>TVSu0312aSPD1</t>
  </si>
  <si>
    <t>TVSu0315aSPD1</t>
  </si>
  <si>
    <t>TVSu0318aSPD1</t>
  </si>
  <si>
    <t>TVSu0321aSPD1</t>
  </si>
  <si>
    <t>TVSu0326aSPD1</t>
  </si>
  <si>
    <t>TVSu0328aSPD1</t>
  </si>
  <si>
    <t>TVSu0343aSPD1</t>
  </si>
  <si>
    <t>TVSu0348aSPD1</t>
  </si>
  <si>
    <t>TVSu0351aSPD1</t>
  </si>
  <si>
    <t>TVSu0352aSPD1</t>
  </si>
  <si>
    <t>TVSu0353aSPD1</t>
  </si>
  <si>
    <t>TVSu0354aSPD1</t>
  </si>
  <si>
    <t>TVSu0357aSPD1</t>
  </si>
  <si>
    <t>TVSu0358aSPD1</t>
  </si>
  <si>
    <t>TVSu0359aSPD1</t>
  </si>
  <si>
    <t>TVSu0361aSPD1</t>
  </si>
  <si>
    <t>TVSu0362aSPD1</t>
  </si>
  <si>
    <t>TVSu0364aSPD1</t>
  </si>
  <si>
    <t>TVSu0368aSPD1</t>
  </si>
  <si>
    <t>TVSu0371aSPD1</t>
  </si>
  <si>
    <t>TVSu0373aSPD1</t>
  </si>
  <si>
    <t>TVSu0374aSPD1</t>
  </si>
  <si>
    <t>TVSu0376aSPD1</t>
  </si>
  <si>
    <t>TVSu0378aSPD1</t>
  </si>
  <si>
    <t>TVSu0379aSPD1</t>
  </si>
  <si>
    <t>TVSu0386aSPD1</t>
  </si>
  <si>
    <t>TVSu0388aSPD1</t>
  </si>
  <si>
    <t>TVSu0395aSPD1</t>
  </si>
  <si>
    <t>TVSu0396aSPD1</t>
  </si>
  <si>
    <t>TVSu0397aSPD1</t>
  </si>
  <si>
    <t>TVSu0398aSPD1</t>
  </si>
  <si>
    <t>TVSu0404aSPD1</t>
  </si>
  <si>
    <t>TVSu0409aSPD1</t>
  </si>
  <si>
    <t>TVSu0410aSPD1</t>
  </si>
  <si>
    <t>TVSu0411aSPD1</t>
  </si>
  <si>
    <t>TVSu0416aSPD1</t>
  </si>
  <si>
    <t>TVSu0418aSPD1</t>
  </si>
  <si>
    <t>TVSu0421aSPD1</t>
  </si>
  <si>
    <t>TVSu0425aSPD1</t>
  </si>
  <si>
    <t>TVSu0431aSPD1</t>
  </si>
  <si>
    <t>TVSu0434aSPD1</t>
  </si>
  <si>
    <t>TVSu0436aSPD1</t>
  </si>
  <si>
    <t>TVSu0438aSPD1</t>
  </si>
  <si>
    <t>TVSu0441aSPD1</t>
  </si>
  <si>
    <t>TVSu0442aSPD1</t>
  </si>
  <si>
    <t>TVSu0445aSPD1</t>
  </si>
  <si>
    <t>TVSu0447aSPD1</t>
  </si>
  <si>
    <t>TVSu0448aSPD1</t>
  </si>
  <si>
    <t>TVSu0454aSPD1</t>
  </si>
  <si>
    <t>TVSu0460aSPD1</t>
  </si>
  <si>
    <t>TVSu0461aSPD1</t>
  </si>
  <si>
    <t>TVSu0462aSPD1</t>
  </si>
  <si>
    <t>TVSu0463aSPD1</t>
  </si>
  <si>
    <t>TVSu0464aSPD1</t>
  </si>
  <si>
    <t>TVSu0466aSPD1</t>
  </si>
  <si>
    <t>TVSu0467aSPD1</t>
  </si>
  <si>
    <t>TVSu0474aSPD1</t>
  </si>
  <si>
    <t>TVSu0476aSPD1</t>
  </si>
  <si>
    <t>TVSu0479aSPD1</t>
  </si>
  <si>
    <t>TVSu0482aSPD1</t>
  </si>
  <si>
    <t>TVSu0484aSPD1</t>
  </si>
  <si>
    <t>TVSu0486aSPD1</t>
  </si>
  <si>
    <t>TVSu0487aSPD1</t>
  </si>
  <si>
    <t>TVSu0488aSPD1</t>
  </si>
  <si>
    <t>TVSu0491aSPD1</t>
  </si>
  <si>
    <t>TVSu0492aSPD1</t>
  </si>
  <si>
    <t>TVSu0501aSPD1</t>
  </si>
  <si>
    <t>TVSu0506aSPD1</t>
  </si>
  <si>
    <t>TVSu0507aSPD1</t>
  </si>
  <si>
    <t>TVSu0508aSPD1</t>
  </si>
  <si>
    <t>TVSu0509aSPD1</t>
  </si>
  <si>
    <t>TVSu0510aSPD1</t>
  </si>
  <si>
    <t>TVSu0516aSPD1</t>
  </si>
  <si>
    <t>TVSu0517aSPD1</t>
  </si>
  <si>
    <t>TVSu0521aSPD1</t>
  </si>
  <si>
    <t>TVSu0522aSPD1</t>
  </si>
  <si>
    <t>TVSu0523aSPD1</t>
  </si>
  <si>
    <t>TVSu0528aSPD1</t>
  </si>
  <si>
    <t>TVSu0534aSPD1</t>
  </si>
  <si>
    <t>TVSu0535aSPD1</t>
  </si>
  <si>
    <t>TVSu0538aSPD1</t>
  </si>
  <si>
    <t>TVSu0543aSPD1</t>
  </si>
  <si>
    <t>TVSu0547aSPD1</t>
  </si>
  <si>
    <t>TVSu0553aSPD1</t>
  </si>
  <si>
    <t>TVSu0554aSPD1</t>
  </si>
  <si>
    <t>TVSu0569aSPD1</t>
  </si>
  <si>
    <t>TVSu0581aSPD1</t>
  </si>
  <si>
    <t>TVSu0595aSPD1</t>
  </si>
  <si>
    <t>TVSu0600aSPD1</t>
  </si>
  <si>
    <t>TVSu0618aSPD1</t>
  </si>
  <si>
    <t>TVSu0636aSPD1</t>
  </si>
  <si>
    <t>TVSu0645aSPD1</t>
  </si>
  <si>
    <t>TVSu0648aSPD1</t>
  </si>
  <si>
    <t>TVSu0652aSPD1</t>
  </si>
  <si>
    <t>TVSu0653aSPD1</t>
  </si>
  <si>
    <t>TVSu0658aSPD1</t>
  </si>
  <si>
    <t>TVSu0671aSPD1</t>
  </si>
  <si>
    <t>TVSu0687aSPD1</t>
  </si>
  <si>
    <t>TVSu0688aSPD1</t>
  </si>
  <si>
    <t>TVSu0689aSPD1</t>
  </si>
  <si>
    <t>TVSu0690aSPD1</t>
  </si>
  <si>
    <t>TVSu0673aSPD1</t>
  </si>
  <si>
    <t>TVSu0677aSPD1</t>
  </si>
  <si>
    <t>TVSu0681aSPD1</t>
  </si>
  <si>
    <t>TVSu0682aSPD1</t>
  </si>
  <si>
    <t>TVSu0683aSPD1</t>
  </si>
  <si>
    <t>TVSu0691aSPD1</t>
  </si>
  <si>
    <t>TVSu0692aSPD1</t>
  </si>
  <si>
    <t>TVSu0693aSPD1</t>
  </si>
  <si>
    <t>TVSu0699aSPD1</t>
  </si>
  <si>
    <t>TVSu0702aSPD1</t>
  </si>
  <si>
    <t>TVSu0688bSPD1</t>
  </si>
  <si>
    <t>TVSu0690bSPD1</t>
  </si>
  <si>
    <t>TVSu0702bSPD1</t>
  </si>
  <si>
    <t>TVSu0709aSPD1</t>
  </si>
  <si>
    <t>TVSu0711aSPD1</t>
  </si>
  <si>
    <t>TVSu0716aSPD1</t>
  </si>
  <si>
    <t>TVSu0725aSPD1</t>
  </si>
  <si>
    <t>TVSu0731aSPD1</t>
  </si>
  <si>
    <t>TVSu0736aSPD1</t>
  </si>
  <si>
    <t>TVSu0738aSPD1</t>
  </si>
  <si>
    <t>TVSu0742aSPD1</t>
  </si>
  <si>
    <t>TVSu0742bSPD1</t>
  </si>
  <si>
    <t>TVSu0745aSPD1</t>
  </si>
  <si>
    <t>TVSu0750aSPD1</t>
  </si>
  <si>
    <t>TVSu0751aSPD1</t>
  </si>
  <si>
    <t>TVSu0754aSPD1</t>
  </si>
  <si>
    <t>TVSu0755aSPD1</t>
  </si>
  <si>
    <t>TVSu0757aSPD1</t>
  </si>
  <si>
    <t>TVSu0758aSPD1</t>
  </si>
  <si>
    <t>TVSu0759aSPD1</t>
  </si>
  <si>
    <t>TVSu0760aSPD1</t>
  </si>
  <si>
    <t>TVSu0764aSPD1</t>
  </si>
  <si>
    <t>TVSu0765aSPD1</t>
  </si>
  <si>
    <t>TVSu0770aSPD1</t>
  </si>
  <si>
    <t>TVSu0774aSPD1</t>
  </si>
  <si>
    <t>TVSu0781aSPD1</t>
  </si>
  <si>
    <t>TVSu0781bSPD1</t>
  </si>
  <si>
    <t>TVSu0781cSPD1</t>
  </si>
  <si>
    <t>TVSu0783aSPD1</t>
  </si>
  <si>
    <t>TVSu0864aSPD1</t>
  </si>
  <si>
    <t>TVSu0865aSPD1</t>
  </si>
  <si>
    <t>TVSu0870aSPD1</t>
  </si>
  <si>
    <t>TVSu0873aSPD1</t>
  </si>
  <si>
    <t>TVSu0879aSPD1</t>
  </si>
  <si>
    <t>TVSu0881cSPD1</t>
  </si>
  <si>
    <t>TVSu0883aSPD1</t>
  </si>
  <si>
    <t>TVSu0889aSPD1</t>
  </si>
  <si>
    <t>TVSu0892aSPD1</t>
  </si>
  <si>
    <t>TVSu0895aSPD1</t>
  </si>
  <si>
    <t>TVSu0913aSPD1</t>
  </si>
  <si>
    <t>TVSu0918aSPD1</t>
  </si>
  <si>
    <t>TVSu0920aSPD1</t>
  </si>
  <si>
    <t>TVSu0921aSPD1</t>
  </si>
  <si>
    <t>TVSu0922aSPD1</t>
  </si>
  <si>
    <t>TVSu0933aSPD1</t>
  </si>
  <si>
    <t>TVSu0934aSPD1</t>
  </si>
  <si>
    <t>TVSu0941aSPD1</t>
  </si>
  <si>
    <t>TVSu0942aSPD1</t>
  </si>
  <si>
    <t>TVSu0949aSPD1</t>
  </si>
  <si>
    <t>TVSu0964aSPD1</t>
  </si>
  <si>
    <t>TVSu0966aSPD1</t>
  </si>
  <si>
    <t>TVSu0981aSPD1</t>
  </si>
  <si>
    <t>TVSu0988aSPD1</t>
  </si>
  <si>
    <t>TVSu0999aSPD1</t>
  </si>
  <si>
    <t>TVSu1011aSPD1</t>
  </si>
  <si>
    <t>TVSu1014aSPD1</t>
  </si>
  <si>
    <t>TVSu1015aSPD1</t>
  </si>
  <si>
    <t>TVSu1018aSPD1</t>
  </si>
  <si>
    <t>TVSu1018bSPD1</t>
  </si>
  <si>
    <t>TVSu1018cSPD1</t>
  </si>
  <si>
    <t>TVSu1022aSPD1</t>
  </si>
  <si>
    <t>TVSu1023aSPD1</t>
  </si>
  <si>
    <t>TVSu1034aSPD1</t>
  </si>
  <si>
    <t>TVSu1050aSPD1</t>
  </si>
  <si>
    <t>TVSu1079aSPD1</t>
  </si>
  <si>
    <t>TVSu1080aSPD1</t>
  </si>
  <si>
    <t>TVSu1081aSPD1</t>
  </si>
  <si>
    <t>TVSu1085aSPD1</t>
  </si>
  <si>
    <t>TVSu1051aSPD1</t>
  </si>
  <si>
    <t>TVSu1078aSPD1</t>
  </si>
  <si>
    <t>TVSu1085bSPD1</t>
  </si>
  <si>
    <t>TVSu1085cSPD1</t>
  </si>
  <si>
    <t>TVSu1091aSPD1</t>
  </si>
  <si>
    <t>TVSu1092aSPD1</t>
  </si>
  <si>
    <t>TVSu1099aSPD1</t>
  </si>
  <si>
    <t>TVSu1108aSPD1</t>
  </si>
  <si>
    <t>TVSu1110aSPD1</t>
  </si>
  <si>
    <t>TVSu1112aSPD1</t>
  </si>
  <si>
    <t>TVSu1126aSPD1</t>
  </si>
  <si>
    <t>TVSu1130aSPD1</t>
  </si>
  <si>
    <t>TVSu1162aSPD1</t>
  </si>
  <si>
    <t>TVSu1164aSPD1</t>
  </si>
  <si>
    <t>TVSu1166aSPD1</t>
  </si>
  <si>
    <t>TVSu1168aSPD1</t>
  </si>
  <si>
    <t>TVSu1177aSPD1</t>
  </si>
  <si>
    <t>TVSu1180aSPD1</t>
  </si>
  <si>
    <t>TVSu1188aSPD1</t>
  </si>
  <si>
    <t>TVSu1191aSPD1</t>
  </si>
  <si>
    <t>TVSu1191bSPD1</t>
  </si>
  <si>
    <t>TVSu1191cSPD1</t>
  </si>
  <si>
    <t>TVSu1199aSPD1</t>
  </si>
  <si>
    <t>TVSu1203aSPD1</t>
  </si>
  <si>
    <t>TVSu1205aSPD1</t>
  </si>
  <si>
    <t>TVSu1215aSPD1</t>
  </si>
  <si>
    <t>TVSu1217aSPD1</t>
  </si>
  <si>
    <t>TVSu1218aSPD1</t>
  </si>
  <si>
    <t>TVSu1221aSPD1</t>
  </si>
  <si>
    <t>TVSu1229aSPD1</t>
  </si>
  <si>
    <t>TVSu1231aSPD1</t>
  </si>
  <si>
    <t>TVSu1232aSPD1</t>
  </si>
  <si>
    <t>TVSu1235aSPD1</t>
  </si>
  <si>
    <t>TVSu1236aSPD1</t>
  </si>
  <si>
    <t>TVSu1244aSPD1</t>
  </si>
  <si>
    <t>TVSu1251aSPD1</t>
  </si>
  <si>
    <t>TVSu1256aSPD1</t>
  </si>
  <si>
    <t>TVSu1254aSPD1</t>
  </si>
  <si>
    <t>TVSu1256bSPD1</t>
  </si>
  <si>
    <t>TVSu1258aSPD1</t>
  </si>
  <si>
    <t>TVSu1260aSPD1</t>
  </si>
  <si>
    <t>TVSu1260bSPD1</t>
  </si>
  <si>
    <t>TVSu1262aSPD1</t>
  </si>
  <si>
    <t>TVSu1278aSPD1</t>
  </si>
  <si>
    <t>TVSu1280aSPD1</t>
  </si>
  <si>
    <t>TVSu1280bSPD1</t>
  </si>
  <si>
    <t>TVSu1284aSPD1</t>
  </si>
  <si>
    <t>TVSu1284bSPD1</t>
  </si>
  <si>
    <t>TVSu1285aSPD1</t>
  </si>
  <si>
    <t>TVSu1289aSPD1</t>
  </si>
  <si>
    <t>TVSu1290aSPD1</t>
  </si>
  <si>
    <t>TVSu1290bSPD1</t>
  </si>
  <si>
    <t>TVSu1308aSPD1</t>
  </si>
  <si>
    <t>TVSu1309aSPD1</t>
  </si>
  <si>
    <t>TVSu1355aSPD1</t>
  </si>
  <si>
    <t>TVSu1373aSPD1</t>
  </si>
  <si>
    <t>TVSu1373bSPD1</t>
  </si>
  <si>
    <t>TVSu1482aSPD1</t>
  </si>
  <si>
    <t>TVSu1533aSPD1</t>
  </si>
  <si>
    <t>TVSu1580aSPD1</t>
  </si>
  <si>
    <t>TVSu1588aSPD1</t>
  </si>
  <si>
    <t>TVSu1643aSPD1</t>
  </si>
  <si>
    <t>TVSu1646aSPD1</t>
  </si>
  <si>
    <t>TVSu1653aSPD1</t>
  </si>
  <si>
    <t>TVSu1656aSPD1</t>
  </si>
  <si>
    <t>TVSu1697aSPD1</t>
  </si>
  <si>
    <t>TVSu1727aSPD1</t>
  </si>
  <si>
    <t>TVSu1727bSPD1</t>
  </si>
  <si>
    <t>TVSu1732aSPD1</t>
  </si>
  <si>
    <t>TVSu1744aSPD1</t>
  </si>
  <si>
    <t>TVSu1744bSPD1</t>
  </si>
  <si>
    <t>TVSu1791aSPD1</t>
  </si>
  <si>
    <t>TVSu1813aSPD1</t>
  </si>
  <si>
    <t>TVSu1816aSPD1</t>
  </si>
  <si>
    <t>TVSu1820aSPD1</t>
  </si>
  <si>
    <t>TVSu1822aSPD1</t>
  </si>
  <si>
    <t>TVSu1822bSPD1</t>
  </si>
  <si>
    <t>TVSu1824aSPD1</t>
  </si>
  <si>
    <t>TVSu1824bSPD1</t>
  </si>
  <si>
    <t>TVSu1827aSPD1</t>
  </si>
  <si>
    <t>TVSu1831aSPD1</t>
  </si>
  <si>
    <t>TVSu1834aSPD1</t>
  </si>
  <si>
    <t>TVSu1860aSPD1</t>
  </si>
  <si>
    <t>TVSu1865aSPD1</t>
  </si>
  <si>
    <t>TVSu1870aSPD1</t>
  </si>
  <si>
    <t>TVSu1872aSPD1</t>
  </si>
  <si>
    <t>TVSu1881aSPD1</t>
  </si>
  <si>
    <t>TVSu1901aSPD1</t>
  </si>
  <si>
    <t>TVSu1991aSPD1</t>
  </si>
  <si>
    <t>TVSu2017aSPD1</t>
  </si>
  <si>
    <t>TVSu2088aSPD1</t>
  </si>
  <si>
    <t>TVSu2089aSPD1</t>
  </si>
  <si>
    <t>TVSu2090aSPD1</t>
  </si>
  <si>
    <t>TVSu2091aSPD1</t>
  </si>
  <si>
    <t>TVSu2092aSPD1</t>
  </si>
  <si>
    <t>TVSu2094aSPD1</t>
  </si>
  <si>
    <t>TVSu2095aSPD1</t>
  </si>
  <si>
    <t>TVSu2096aSPD1</t>
  </si>
  <si>
    <t>TVSu2097aSPD1</t>
  </si>
  <si>
    <t>TVSu2098aSPD1</t>
  </si>
  <si>
    <t>TVSu2099aSPD1</t>
  </si>
  <si>
    <t>TVSu2100aSPD1</t>
  </si>
  <si>
    <t>TVSu2093aSPD1</t>
  </si>
  <si>
    <t>TVSu2101aSPD1</t>
  </si>
  <si>
    <t>TVSu2102aSPD1</t>
  </si>
  <si>
    <t>TVSu2103aSPD1</t>
  </si>
  <si>
    <t>TVSu2104aSPD1</t>
  </si>
  <si>
    <t>TVSu2105aSPD1</t>
  </si>
  <si>
    <t>TVSu2106aSPD1</t>
  </si>
  <si>
    <t>TVSu2107aSPD1</t>
  </si>
  <si>
    <t>TVSu2108aSPD1</t>
  </si>
  <si>
    <t>TVSu2110aSPD1</t>
  </si>
  <si>
    <t>TVSu2112aSPD1</t>
  </si>
  <si>
    <t>TVSu2113aSPD1</t>
  </si>
  <si>
    <t>TVSu2114aSPD1</t>
  </si>
  <si>
    <t>2014/15</t>
  </si>
  <si>
    <t>UBBDSP1</t>
  </si>
  <si>
    <t>S193SPD1</t>
  </si>
  <si>
    <t>CIAROG1SPD1</t>
  </si>
  <si>
    <t>CIAROG2SPD1</t>
  </si>
  <si>
    <t>CIKIJING1SPD1</t>
  </si>
  <si>
    <t>CIKUR11SPD1</t>
  </si>
  <si>
    <t>CIKUR21SPD1</t>
  </si>
  <si>
    <t>CIKUR23SPD1</t>
  </si>
  <si>
    <t>CIKUR32SPD1</t>
  </si>
  <si>
    <t>CIKUR33SPD1</t>
  </si>
  <si>
    <t>CIKUR2DSPD1</t>
  </si>
  <si>
    <t>GOBRAS12SPD1</t>
  </si>
  <si>
    <t>GOBRAS21SPD1</t>
  </si>
  <si>
    <t>GOBRAS22SPD1</t>
  </si>
  <si>
    <t>GOBRAS23SPD1</t>
  </si>
  <si>
    <t>GOBRAS223SPD1</t>
  </si>
  <si>
    <t>GOBRAS32SPD1</t>
  </si>
  <si>
    <t>GOBRAS31SPD1</t>
  </si>
  <si>
    <t>GOBRAS42SPD1</t>
  </si>
  <si>
    <t>GOBRAS4HSPD1</t>
  </si>
  <si>
    <t>GOBRAS52SPD1</t>
  </si>
  <si>
    <t>COKLATTUASPD1</t>
  </si>
  <si>
    <t>RAJAP21SPD1</t>
  </si>
  <si>
    <t>RAJAP32SPD1</t>
  </si>
  <si>
    <t>RAJAP41SPD1</t>
  </si>
  <si>
    <t>RAJAP42SPD1</t>
  </si>
  <si>
    <t>SITURAJA2SPD1</t>
  </si>
  <si>
    <t>SUKARAJA1SPD1</t>
  </si>
  <si>
    <t>SUKARAJA2SPD1</t>
  </si>
  <si>
    <t>URUG1SPD1</t>
  </si>
  <si>
    <t>URUG2SPD1</t>
  </si>
  <si>
    <t>IPBBAM10SPD1</t>
  </si>
  <si>
    <t>IPBBAM09SPD1</t>
  </si>
  <si>
    <t>IPBBAM08SPD1</t>
  </si>
  <si>
    <t>IPBBAM07SPD1</t>
  </si>
  <si>
    <t>IPBBAM06SPD1</t>
  </si>
  <si>
    <t>IPBBAM05SPD1</t>
  </si>
  <si>
    <t>IPBBAM04SPD1</t>
  </si>
  <si>
    <t>IPBBAM03SPD1</t>
  </si>
  <si>
    <t>IPBBAM02SPD1</t>
  </si>
  <si>
    <t>IPBBAM01SPD1</t>
  </si>
  <si>
    <t>GH17105SPD1</t>
  </si>
  <si>
    <t>GH37107SPD1</t>
  </si>
  <si>
    <t>GC32105SPD1</t>
  </si>
  <si>
    <t>GCL31105SPD1</t>
  </si>
  <si>
    <t>GHC36105SPD1</t>
  </si>
  <si>
    <t>GH21105SPD1</t>
  </si>
  <si>
    <t>GC34107SPD1</t>
  </si>
  <si>
    <t>GCL11105SPD1</t>
  </si>
  <si>
    <t>GHC16105SPD1</t>
  </si>
  <si>
    <t>GHC37105SPD1</t>
  </si>
  <si>
    <t>GH36107SPD1</t>
  </si>
  <si>
    <t>GC35107SPD1</t>
  </si>
  <si>
    <t>GCL13105SPD1</t>
  </si>
  <si>
    <t>GHC24105SPD1</t>
  </si>
  <si>
    <t>BH17107SPD1</t>
  </si>
  <si>
    <t>BC14105SPD1</t>
  </si>
  <si>
    <t>BCL33107SPD1</t>
  </si>
  <si>
    <t>BCGC12107SPD1</t>
  </si>
  <si>
    <t>BCGC23107SPD1</t>
  </si>
  <si>
    <t>BC12105SPD1</t>
  </si>
  <si>
    <t>BCGC13107SPD1</t>
  </si>
  <si>
    <t>BH16107SPD1</t>
  </si>
  <si>
    <t>BC31107SPD1</t>
  </si>
  <si>
    <t>BCGC11107SPD1</t>
  </si>
  <si>
    <t>ACC385TZASPD1</t>
  </si>
  <si>
    <t>AHM968cNAMSPD1</t>
  </si>
  <si>
    <t>SB42aNAMSPD1</t>
  </si>
  <si>
    <t>SB16cSPD1</t>
  </si>
  <si>
    <t>ACC696ZMBSPD1</t>
  </si>
  <si>
    <t>AHM753NAMSPD1</t>
  </si>
  <si>
    <t>BWA1BWASPD1</t>
  </si>
  <si>
    <t>ACC9bNGASPD1</t>
  </si>
  <si>
    <t>ACC144bGHASPD1</t>
  </si>
  <si>
    <t>ACC289cBENSPD1</t>
  </si>
  <si>
    <t>ACC118bCIVSPD1</t>
  </si>
  <si>
    <t>ACC476bCMRSPD1</t>
  </si>
  <si>
    <t>ACC484aCMRSPD1</t>
  </si>
  <si>
    <t>ACC536aCMRSPD1</t>
  </si>
  <si>
    <t>ACC790bKENSPD1</t>
  </si>
  <si>
    <t>ACC793aKENSPD1</t>
  </si>
  <si>
    <t>ACC792bZWESPD1</t>
  </si>
  <si>
    <t>ACC89cMLISPD1</t>
  </si>
  <si>
    <t>ACC32aNGASPD1</t>
  </si>
  <si>
    <t>ACC335cNGASPD1</t>
  </si>
  <si>
    <t>ACC390cSDNSPD1</t>
  </si>
  <si>
    <t>ACC754aZMBSPD1</t>
  </si>
  <si>
    <t>UNISRSWASPD1</t>
  </si>
  <si>
    <t>S1913bNAMSPD1</t>
  </si>
  <si>
    <t>BWA5BWASPD1</t>
  </si>
  <si>
    <t>RAMAYANASPD1</t>
  </si>
  <si>
    <t>THAI1SPD1</t>
  </si>
  <si>
    <t>GETSO13SPD1</t>
  </si>
  <si>
    <t>GRESIK13SPD1</t>
  </si>
  <si>
    <t>SONGKHLA1SPD1</t>
  </si>
  <si>
    <t>TVSU89SPD1</t>
  </si>
  <si>
    <t>MSIAREDSPD1</t>
  </si>
  <si>
    <t>MSIACREAMSPD1</t>
  </si>
  <si>
    <t>UBCJSPD1</t>
  </si>
  <si>
    <t>UBGB12SPD1</t>
  </si>
  <si>
    <t>UBCK23SPD1</t>
  </si>
  <si>
    <t>UBGB21SPD1</t>
  </si>
  <si>
    <t>UBGCTSPD1</t>
  </si>
  <si>
    <t>UBRJ21SPD1</t>
  </si>
  <si>
    <t>UBSJ2SPD1</t>
  </si>
  <si>
    <t>ANKPA413SPD1</t>
  </si>
  <si>
    <t>DIPC13SPD1</t>
  </si>
  <si>
    <t>DODR13SPD1</t>
  </si>
  <si>
    <t>IITA68613SPD1</t>
  </si>
  <si>
    <t>LUNT13SPD1</t>
  </si>
  <si>
    <t>S1913SPD1</t>
  </si>
  <si>
    <t>TIGANICURU13SPD1</t>
  </si>
  <si>
    <t>UNISWARED13SPD1</t>
  </si>
  <si>
    <t>IPBBAM03_14SPD1</t>
  </si>
  <si>
    <t>IPBBAM04_14SPD1</t>
  </si>
  <si>
    <t>IPBBAM07_14SPD1</t>
  </si>
  <si>
    <t>EP22_14SPD1</t>
  </si>
  <si>
    <t>EP23_14SPD1</t>
  </si>
  <si>
    <t>EP05_14SPD1</t>
  </si>
  <si>
    <t>EP06_14SPD1</t>
  </si>
  <si>
    <t>EP07_14SPD1</t>
  </si>
  <si>
    <t>EP08_14SPD1</t>
  </si>
  <si>
    <t>EP09_14SPD1</t>
  </si>
  <si>
    <t>EP20_14SPD1</t>
  </si>
  <si>
    <t>EP21_14SPD1</t>
  </si>
  <si>
    <t>EP35_14SPD1</t>
  </si>
  <si>
    <t>EP37_14SPD1</t>
  </si>
  <si>
    <t>EP38_14SPD1</t>
  </si>
  <si>
    <t>EP10_14SPD1</t>
  </si>
  <si>
    <t>EP11_14SPD1</t>
  </si>
  <si>
    <t>EP12_14SPD1</t>
  </si>
  <si>
    <t>EP13_14SPD1</t>
  </si>
  <si>
    <t>EP14_14SPD1</t>
  </si>
  <si>
    <t>EP25_14SPD1</t>
  </si>
  <si>
    <t>EP28_14SPD1</t>
  </si>
  <si>
    <t>EP39_14SPD1</t>
  </si>
  <si>
    <t>EP40_14SPD1</t>
  </si>
  <si>
    <t>another generation of ACC118bCIVSPD1?</t>
  </si>
  <si>
    <t>VSSP6SPD1</t>
  </si>
  <si>
    <t>another generation of RAMAYANASPD1?</t>
  </si>
  <si>
    <t>another genration of URUG1SPD1?</t>
  </si>
  <si>
    <t>another genration of SONGKHLA1SPD1?</t>
  </si>
  <si>
    <t>ANKPA413SPD1?</t>
  </si>
  <si>
    <t>GETSO13SPD1?</t>
  </si>
  <si>
    <t>GRESIK13SPD1?</t>
  </si>
  <si>
    <t>LUNT13SPD1?</t>
  </si>
  <si>
    <t>TIGANICURU13SPD1?</t>
  </si>
  <si>
    <t>IITA68613SPD1?</t>
  </si>
  <si>
    <t>DIPC13SPD1?</t>
  </si>
  <si>
    <t>UNISWARED13SPD1?</t>
  </si>
  <si>
    <t>DODR13SPD1?</t>
  </si>
  <si>
    <t>KANO2SPD1</t>
  </si>
  <si>
    <t>UNISWASPD1</t>
  </si>
  <si>
    <t>KANO3SPD1</t>
  </si>
  <si>
    <t xml:space="preserve">only few lines, not sure what they are for? </t>
  </si>
  <si>
    <t>IA1F2-012R1</t>
  </si>
  <si>
    <t>IA1F2-012R2</t>
  </si>
  <si>
    <t>IA1F2-012R3</t>
  </si>
  <si>
    <t>IA1F2-013R1</t>
  </si>
  <si>
    <t>IA1F2-013R2</t>
  </si>
  <si>
    <t>IA1F2-013R3</t>
  </si>
  <si>
    <t>IA1F2-013R4</t>
  </si>
  <si>
    <t>IA1F2-014R4</t>
  </si>
  <si>
    <t>IA1F2-014R1</t>
  </si>
  <si>
    <t>IA1F2-014R2</t>
  </si>
  <si>
    <t>IA1F2-014R3</t>
  </si>
  <si>
    <t>IA1F2-015R1</t>
  </si>
  <si>
    <t>IA1F2-015R2</t>
  </si>
  <si>
    <t>IA1F2-015R3</t>
  </si>
  <si>
    <t>IA1F2-015R4</t>
  </si>
  <si>
    <t>IA1F2-016R1</t>
  </si>
  <si>
    <t>IA1F2-016R2</t>
  </si>
  <si>
    <t>IA1F2-016R3</t>
  </si>
  <si>
    <t>IA1F2-017R1</t>
  </si>
  <si>
    <t>IA1F2-017R2</t>
  </si>
  <si>
    <t>IA1F2-017R3</t>
  </si>
  <si>
    <t>IA1F2-018R1</t>
  </si>
  <si>
    <t>IA1F2-018R2</t>
  </si>
  <si>
    <t>IA1F2-018R3</t>
  </si>
  <si>
    <t>IA1F2-019R1</t>
  </si>
  <si>
    <t>IA1F2-019R2</t>
  </si>
  <si>
    <t>IA1F2-019R3</t>
  </si>
  <si>
    <t>IA1F2-002R1</t>
  </si>
  <si>
    <t>IA1F2-020R1</t>
  </si>
  <si>
    <t>IA1F2-020R2</t>
  </si>
  <si>
    <t>IA1F2-020R3</t>
  </si>
  <si>
    <t>IA1F2-021R1</t>
  </si>
  <si>
    <t>IA1F2-021R2</t>
  </si>
  <si>
    <t>IA1F2-021R3</t>
  </si>
  <si>
    <t>IA1F2-022R1</t>
  </si>
  <si>
    <t>IA1F2-022R2</t>
  </si>
  <si>
    <t>IA1F2-022R3</t>
  </si>
  <si>
    <t>IA1F2-023R1</t>
  </si>
  <si>
    <t>IA1F2-023R2</t>
  </si>
  <si>
    <t>IA1F2-024R1</t>
  </si>
  <si>
    <t>IA1F2-024R2</t>
  </si>
  <si>
    <t>IA1F2-024R3</t>
  </si>
  <si>
    <t>IA1F2-025R1</t>
  </si>
  <si>
    <t>IA1F2-025R2</t>
  </si>
  <si>
    <t>IA1F2-025R3</t>
  </si>
  <si>
    <t>IA1F2-026R1</t>
  </si>
  <si>
    <t>IA1F2-026R2</t>
  </si>
  <si>
    <t>IA1F2-026R3</t>
  </si>
  <si>
    <t>IA1F2-027R1</t>
  </si>
  <si>
    <t>IA1F2-027R2</t>
  </si>
  <si>
    <t>IA1F2-027R3</t>
  </si>
  <si>
    <t>IA1F2-028R1</t>
  </si>
  <si>
    <t>IA1F2-028R2</t>
  </si>
  <si>
    <t>IA1F2-028R3</t>
  </si>
  <si>
    <t>IA1F2-029R1</t>
  </si>
  <si>
    <t>IA1F2-029R2</t>
  </si>
  <si>
    <t>IA1F2-029R3</t>
  </si>
  <si>
    <t>IA1F2-003R1</t>
  </si>
  <si>
    <t>IA1F2-003R2</t>
  </si>
  <si>
    <t>IA1F2-030R1</t>
  </si>
  <si>
    <t>IA1F2-031R1</t>
  </si>
  <si>
    <t>IA1F2-032R1</t>
  </si>
  <si>
    <t>IA1F2-033R1</t>
  </si>
  <si>
    <t>IA1F2-030R2</t>
  </si>
  <si>
    <t>IA1F2-031R2</t>
  </si>
  <si>
    <t>IA1F2-031R3</t>
  </si>
  <si>
    <t>IA1F2-032R2</t>
  </si>
  <si>
    <t>IA1F2-032R3</t>
  </si>
  <si>
    <t>IA1F2-033R2</t>
  </si>
  <si>
    <t>IA1F2-033R3</t>
  </si>
  <si>
    <t>IA1F2-034R1</t>
  </si>
  <si>
    <t>IA1F2-034R2</t>
  </si>
  <si>
    <t>IA1F2-034R3</t>
  </si>
  <si>
    <t>IA1F2-035R1</t>
  </si>
  <si>
    <t>IA1F2-035R2</t>
  </si>
  <si>
    <t>IA1F2-035R3</t>
  </si>
  <si>
    <t>IA1F2-036R1</t>
  </si>
  <si>
    <t>IA1F2-036R2</t>
  </si>
  <si>
    <t>IA1F2-036R3</t>
  </si>
  <si>
    <t>IA1F2-036R4</t>
  </si>
  <si>
    <t>IA1F2-037R1</t>
  </si>
  <si>
    <t>IA1F2-037R2</t>
  </si>
  <si>
    <t>IA1F2-037R3</t>
  </si>
  <si>
    <t>IA1F2-037R4</t>
  </si>
  <si>
    <t>IA1F2-038R1</t>
  </si>
  <si>
    <t>IA1F2-038R2</t>
  </si>
  <si>
    <t>IA1F2-038R3</t>
  </si>
  <si>
    <t>IA1F2-038R4</t>
  </si>
  <si>
    <t>IA1F2-039R1</t>
  </si>
  <si>
    <t>IA1F2-039R2</t>
  </si>
  <si>
    <t>IA1F2-039R3</t>
  </si>
  <si>
    <t>IA1F2-039R4</t>
  </si>
  <si>
    <t>IA1F2-004R1</t>
  </si>
  <si>
    <t>IA1F2-004R2</t>
  </si>
  <si>
    <t>IA1F2-040R1</t>
  </si>
  <si>
    <t>IA1F2-004R3</t>
  </si>
  <si>
    <t>IA1F2-040R2</t>
  </si>
  <si>
    <t>IA1F2-040R3</t>
  </si>
  <si>
    <t>IA1F2-040R4</t>
  </si>
  <si>
    <t>IA1F2-041R1</t>
  </si>
  <si>
    <t>IA1F2-041R2</t>
  </si>
  <si>
    <t>IA1F2-041R3</t>
  </si>
  <si>
    <t>IA1F2-041R4</t>
  </si>
  <si>
    <t>IA1F2-042R1</t>
  </si>
  <si>
    <t>IA1F2-042R2</t>
  </si>
  <si>
    <t>IA1F2-042R3</t>
  </si>
  <si>
    <t>IA1F2-042R4</t>
  </si>
  <si>
    <t>IA1F2-043R1</t>
  </si>
  <si>
    <t>IA1F2-043R2</t>
  </si>
  <si>
    <t>IA1F2-043R3</t>
  </si>
  <si>
    <t>IA1F2-043R4</t>
  </si>
  <si>
    <t>IA1F2-044R1</t>
  </si>
  <si>
    <t>IA1F2-044R2</t>
  </si>
  <si>
    <t>IA1F2-044R3</t>
  </si>
  <si>
    <t>IA1F2-044R4</t>
  </si>
  <si>
    <t>IA1F2-045R1</t>
  </si>
  <si>
    <t>IA1F2-045R2</t>
  </si>
  <si>
    <t>IA1F2-045R3</t>
  </si>
  <si>
    <t>IA1F2-046R1</t>
  </si>
  <si>
    <t>IA1F2-046R2</t>
  </si>
  <si>
    <t>IA1F2-047R1</t>
  </si>
  <si>
    <t>IA1F2-047R2</t>
  </si>
  <si>
    <t>IA1F2-047R3</t>
  </si>
  <si>
    <t>IA1F2-047R4</t>
  </si>
  <si>
    <t>IA1F2-048R1</t>
  </si>
  <si>
    <t>IA1F2-048R2</t>
  </si>
  <si>
    <t>IA1F2-049R1</t>
  </si>
  <si>
    <t>IA1F2-005R1</t>
  </si>
  <si>
    <t>IA1F2-005R2</t>
  </si>
  <si>
    <t>IA1F2-005R3</t>
  </si>
  <si>
    <t>IA1F2-050R1</t>
  </si>
  <si>
    <t>IA1F2-051R1</t>
  </si>
  <si>
    <t>IA1F2-052R1</t>
  </si>
  <si>
    <t>IA1F2-053R1</t>
  </si>
  <si>
    <t>IA1F2-050R2</t>
  </si>
  <si>
    <t>IA1F2-050R3</t>
  </si>
  <si>
    <t>IA1F2-051R2</t>
  </si>
  <si>
    <t>IA1F2-052R2</t>
  </si>
  <si>
    <t>IA1F2-053R2</t>
  </si>
  <si>
    <t>IA1F2-053R3</t>
  </si>
  <si>
    <t>IA1F2-054R1</t>
  </si>
  <si>
    <t>IA1F2-054R2</t>
  </si>
  <si>
    <t>IA1F2-054R3</t>
  </si>
  <si>
    <t>IA1F2-055R1</t>
  </si>
  <si>
    <t>IA1F2-055R2</t>
  </si>
  <si>
    <t>IA1F2-056R1</t>
  </si>
  <si>
    <t>IA1F2-056R2</t>
  </si>
  <si>
    <t>IA1F2-057R1</t>
  </si>
  <si>
    <t>IA1F2-057R2</t>
  </si>
  <si>
    <t>IA1F2-057R3</t>
  </si>
  <si>
    <t>IA1F2-058R1</t>
  </si>
  <si>
    <t>IA1F2-058R2</t>
  </si>
  <si>
    <t>IA1F2-058R3</t>
  </si>
  <si>
    <t>IA1F2-059R1</t>
  </si>
  <si>
    <t>IA1F2-059R2</t>
  </si>
  <si>
    <t>IA1F2-006R1</t>
  </si>
  <si>
    <t>IA1F2-006R2</t>
  </si>
  <si>
    <t>IA1F2-006R3</t>
  </si>
  <si>
    <t>IA1F2-006R4</t>
  </si>
  <si>
    <t>IA1F2-060R1</t>
  </si>
  <si>
    <t>IA1F2-061R1</t>
  </si>
  <si>
    <t>IA1F2-062R1</t>
  </si>
  <si>
    <t>IA1F2-060R2</t>
  </si>
  <si>
    <t>IA1F2-060R3</t>
  </si>
  <si>
    <t>IA1F2-060R4</t>
  </si>
  <si>
    <t>IA1F2-061R2</t>
  </si>
  <si>
    <t>IA1F2-061R3</t>
  </si>
  <si>
    <t>IA1F2-062R2</t>
  </si>
  <si>
    <t>IA1F2-062R3</t>
  </si>
  <si>
    <t>IA1F2-063R1</t>
  </si>
  <si>
    <t>IA1F2-063R2</t>
  </si>
  <si>
    <t>IA1F2-063R3</t>
  </si>
  <si>
    <t>IA1F2-064R1</t>
  </si>
  <si>
    <t>IA1F2-064R2</t>
  </si>
  <si>
    <t>IA1F2-064R3</t>
  </si>
  <si>
    <t>IA1F2-064R4</t>
  </si>
  <si>
    <t>IA1F2-065R1</t>
  </si>
  <si>
    <t>IA1F2-065R2</t>
  </si>
  <si>
    <t>IA1F2-065R3</t>
  </si>
  <si>
    <t>IA1F2-066R1</t>
  </si>
  <si>
    <t>IA1F2-066R2</t>
  </si>
  <si>
    <t>IA1F2-066R3</t>
  </si>
  <si>
    <t>IA1F2-067R1</t>
  </si>
  <si>
    <t>IA1F2-067R2</t>
  </si>
  <si>
    <t>IA1F2-067R3</t>
  </si>
  <si>
    <t>IA1F2-068R1</t>
  </si>
  <si>
    <t>IA1F2-068R2</t>
  </si>
  <si>
    <t>IA1F2-069R1</t>
  </si>
  <si>
    <t>IA1F2-069R2</t>
  </si>
  <si>
    <t>IA1F2-069R3</t>
  </si>
  <si>
    <t>IA1F2-007R1</t>
  </si>
  <si>
    <t>IA1F2-007R2</t>
  </si>
  <si>
    <t>IA1F2-007R3</t>
  </si>
  <si>
    <t>IA1F2-070R1</t>
  </si>
  <si>
    <t>IA1F2-071R1</t>
  </si>
  <si>
    <t>IA1F2-070R2</t>
  </si>
  <si>
    <t>IA1F2-070R3</t>
  </si>
  <si>
    <t>IA1F2-071R2</t>
  </si>
  <si>
    <t>IA1F2-071R3</t>
  </si>
  <si>
    <t>IA1F2-072R1</t>
  </si>
  <si>
    <t>IA1F2-072R2</t>
  </si>
  <si>
    <t>IA1F2-072R3</t>
  </si>
  <si>
    <t>IA1F2-073R1</t>
  </si>
  <si>
    <t>IA1F2-073R2</t>
  </si>
  <si>
    <t>IA1F2-073R3</t>
  </si>
  <si>
    <t>IA1F2-074R1</t>
  </si>
  <si>
    <t>IA1F2-074R2</t>
  </si>
  <si>
    <t>IA1F2-074R3</t>
  </si>
  <si>
    <t>IA1F2-075R1</t>
  </si>
  <si>
    <t>IA1F2-075R2</t>
  </si>
  <si>
    <t>IA1F2-076R1</t>
  </si>
  <si>
    <t>IA1F2-076R2</t>
  </si>
  <si>
    <t>IA1F2-076R3</t>
  </si>
  <si>
    <t>IA1F2-076R4</t>
  </si>
  <si>
    <t>IA1F2-077R1</t>
  </si>
  <si>
    <t>IA1F2-077R2</t>
  </si>
  <si>
    <t>IA1F2-077R3</t>
  </si>
  <si>
    <t>IA1F2-078R1</t>
  </si>
  <si>
    <t>IA1F2-078R2</t>
  </si>
  <si>
    <t>IA1F2-078R3</t>
  </si>
  <si>
    <t>IA1F2-078R4</t>
  </si>
  <si>
    <t>IA1F2-079R1</t>
  </si>
  <si>
    <t>IA1F2-079R2</t>
  </si>
  <si>
    <t>IA1F2-079R3</t>
  </si>
  <si>
    <t>IA1F2-008R1</t>
  </si>
  <si>
    <t>IA1F2-008R2</t>
  </si>
  <si>
    <t>IA1F2-008R3</t>
  </si>
  <si>
    <t>IA1F2-080R1</t>
  </si>
  <si>
    <t>IA1F2-080R2</t>
  </si>
  <si>
    <t>IA1F2-080R3</t>
  </si>
  <si>
    <t>IA1F2-009R1</t>
  </si>
  <si>
    <t>IA1F2-009R2</t>
  </si>
  <si>
    <t>IA1F2-009R3</t>
  </si>
  <si>
    <t>AI1F2-010R1</t>
  </si>
  <si>
    <t>AI1F2-023R1</t>
  </si>
  <si>
    <t>AI1F2-024R1</t>
  </si>
  <si>
    <t>AI1F2-033R1</t>
  </si>
  <si>
    <t>AI1F2-033R2</t>
  </si>
  <si>
    <t>AI1F2-048R1</t>
  </si>
  <si>
    <t>AI1F2-048R2</t>
  </si>
  <si>
    <t>AI1F2-049R1</t>
  </si>
  <si>
    <t>AI1F2-049R2</t>
  </si>
  <si>
    <t>AI1F2-005R1</t>
  </si>
  <si>
    <t>AI1F2-050R1</t>
  </si>
  <si>
    <t>AI1F2-050R2</t>
  </si>
  <si>
    <t>AI1F2-006R1</t>
  </si>
  <si>
    <t>AI1F2-007R1</t>
  </si>
  <si>
    <t>AI1F2-008R1</t>
  </si>
  <si>
    <t>AI1F2-071R1</t>
  </si>
  <si>
    <t>AI1F2-072R1</t>
  </si>
  <si>
    <t>AI1F2-073R1</t>
  </si>
  <si>
    <t>renamed to</t>
  </si>
  <si>
    <t>Proposed Acc No./indicator.</t>
  </si>
  <si>
    <t>SPD</t>
  </si>
  <si>
    <t>SSD</t>
  </si>
  <si>
    <t>LDR</t>
  </si>
  <si>
    <t>Landrace</t>
  </si>
  <si>
    <t>DHP</t>
  </si>
  <si>
    <t>Doubled Haploid</t>
  </si>
  <si>
    <t>CLN</t>
  </si>
  <si>
    <t>Clonal</t>
  </si>
  <si>
    <t>Project-activity</t>
  </si>
  <si>
    <t>STB</t>
  </si>
  <si>
    <t>Sutton Bonington</t>
  </si>
  <si>
    <t>BML</t>
  </si>
  <si>
    <t>Bamlink</t>
  </si>
  <si>
    <t>CFF</t>
  </si>
  <si>
    <t>Crops for the Future</t>
  </si>
  <si>
    <t>BMY</t>
  </si>
  <si>
    <t>Bamyield</t>
  </si>
  <si>
    <t>ITA</t>
  </si>
  <si>
    <t>PGR</t>
  </si>
  <si>
    <t>International Treaty for Plant Genetic Resources FA</t>
  </si>
  <si>
    <t>CRI</t>
  </si>
  <si>
    <t>Crops Research Institute</t>
  </si>
  <si>
    <t>FFB</t>
  </si>
  <si>
    <t>Future Food Beacon</t>
  </si>
  <si>
    <t>BAU</t>
  </si>
  <si>
    <t>Bogor AU</t>
  </si>
  <si>
    <t>CO1</t>
  </si>
  <si>
    <t>unfunded collaboration</t>
  </si>
  <si>
    <t>KZN</t>
  </si>
  <si>
    <t>KwaZulu-Natal</t>
  </si>
  <si>
    <t>single plant descent (1 round purification)</t>
  </si>
  <si>
    <t>single seed descent (&gt;1 round purification)</t>
  </si>
  <si>
    <t xml:space="preserve">Originator </t>
  </si>
  <si>
    <t>Brawijaya</t>
  </si>
  <si>
    <t>West Java</t>
  </si>
  <si>
    <t>East Java</t>
  </si>
  <si>
    <t>Individual lines</t>
  </si>
  <si>
    <t>Thai (DOA/Kasetsart)</t>
  </si>
  <si>
    <t>P7_2015a</t>
  </si>
  <si>
    <t>P7_2015b</t>
  </si>
  <si>
    <t>M0_2016a</t>
  </si>
  <si>
    <t>M0_2016b</t>
  </si>
  <si>
    <t>P7_2016a</t>
  </si>
  <si>
    <t>M0_2017a</t>
  </si>
  <si>
    <t>P1_2017a</t>
  </si>
  <si>
    <t>M0_2015</t>
  </si>
  <si>
    <t>P1_2018</t>
  </si>
  <si>
    <t>P2_2018</t>
  </si>
  <si>
    <t>P3_2018</t>
  </si>
  <si>
    <t>RS_2018</t>
  </si>
  <si>
    <t>Block</t>
  </si>
  <si>
    <t>ID</t>
  </si>
  <si>
    <t>#</t>
  </si>
  <si>
    <t>Days to emergence</t>
  </si>
  <si>
    <t>Days to 50% flowering</t>
  </si>
  <si>
    <t>Number of Leaves</t>
  </si>
  <si>
    <t>Plant Spread (cm)</t>
  </si>
  <si>
    <t>Plant Height (cm)</t>
  </si>
  <si>
    <t>Leaflet Length (cm)</t>
  </si>
  <si>
    <t>Leaflet Width (cm)</t>
  </si>
  <si>
    <t>Leaf Area (length x width)</t>
  </si>
  <si>
    <t>Petiole Length (cm)</t>
  </si>
  <si>
    <t>Internode Length (cm)</t>
  </si>
  <si>
    <t>Petiole-Internode Ratio</t>
  </si>
  <si>
    <t>Penducle Length (cm)</t>
  </si>
  <si>
    <t>Number of Stems</t>
  </si>
  <si>
    <t>Fresh Plant Weight (g)</t>
  </si>
  <si>
    <t>Dry Plant Weight (g)</t>
  </si>
  <si>
    <t>Fresh Pods Weight (g)</t>
  </si>
  <si>
    <t>Dry Pods Weight (g)</t>
  </si>
  <si>
    <t>Weight of seeds (g)</t>
  </si>
  <si>
    <t>No of seeds</t>
  </si>
  <si>
    <t>B1</t>
  </si>
  <si>
    <t>Burkina</t>
  </si>
  <si>
    <t>T1R1</t>
  </si>
  <si>
    <t>T1R2</t>
  </si>
  <si>
    <t>T1R3</t>
  </si>
  <si>
    <t>Bogor-1</t>
  </si>
  <si>
    <t>T2R1</t>
  </si>
  <si>
    <t>T2R2</t>
  </si>
  <si>
    <t>T2R3</t>
  </si>
  <si>
    <t>100SB16ANAM</t>
  </si>
  <si>
    <t>T3R1</t>
  </si>
  <si>
    <t>T3R2</t>
  </si>
  <si>
    <t>T3R3</t>
  </si>
  <si>
    <t>-</t>
  </si>
  <si>
    <t>T4R1</t>
  </si>
  <si>
    <t>T4R2</t>
  </si>
  <si>
    <t>T4R3</t>
  </si>
  <si>
    <t>Songkhla1</t>
  </si>
  <si>
    <t>T5R1</t>
  </si>
  <si>
    <t>T5R2</t>
  </si>
  <si>
    <t>T5R3</t>
  </si>
  <si>
    <t>20Acc118CIV-B</t>
  </si>
  <si>
    <t>T6R1</t>
  </si>
  <si>
    <t>T6R2</t>
  </si>
  <si>
    <t>T6R3</t>
  </si>
  <si>
    <t>Uniswa Red</t>
  </si>
  <si>
    <t>T7R1</t>
  </si>
  <si>
    <t>T7R2</t>
  </si>
  <si>
    <t>T7R3</t>
  </si>
  <si>
    <t>T8R1</t>
  </si>
  <si>
    <t>T8R2</t>
  </si>
  <si>
    <t>T8R3</t>
  </si>
  <si>
    <t>Ex-sokoto</t>
  </si>
  <si>
    <t>T9R1</t>
  </si>
  <si>
    <t>T9R2</t>
  </si>
  <si>
    <t>T9R3</t>
  </si>
  <si>
    <t>Light brown light brown eye</t>
  </si>
  <si>
    <t>T10R1</t>
  </si>
  <si>
    <t>T10R2</t>
  </si>
  <si>
    <t>T10R3</t>
  </si>
  <si>
    <t>Dotted brown black eye</t>
  </si>
  <si>
    <t>T11R1</t>
  </si>
  <si>
    <t>T11R2</t>
  </si>
  <si>
    <t>T11R3</t>
  </si>
  <si>
    <t>Kazuma</t>
  </si>
  <si>
    <t>T12R1</t>
  </si>
  <si>
    <t>T12R2</t>
  </si>
  <si>
    <t>T12R3</t>
  </si>
  <si>
    <t>TVSU 89</t>
  </si>
  <si>
    <t>T13R1</t>
  </si>
  <si>
    <t>T13R2</t>
  </si>
  <si>
    <t>T13R3</t>
  </si>
  <si>
    <t>Light cream black eyes</t>
  </si>
  <si>
    <t>T14R1</t>
  </si>
  <si>
    <t>T14R2</t>
  </si>
  <si>
    <t>T14R3</t>
  </si>
  <si>
    <t>Uniswa red - URR343</t>
  </si>
  <si>
    <t>T15R1</t>
  </si>
  <si>
    <t>T15R2</t>
  </si>
  <si>
    <t>T15R3</t>
  </si>
  <si>
    <t>104S-1913NAM</t>
  </si>
  <si>
    <t>T16R1</t>
  </si>
  <si>
    <t>T16R2</t>
  </si>
  <si>
    <t>T16R3</t>
  </si>
  <si>
    <t>BD</t>
  </si>
  <si>
    <t>T17R1</t>
  </si>
  <si>
    <t>T17R2</t>
  </si>
  <si>
    <t>T17R3</t>
  </si>
  <si>
    <t>Cikijing1</t>
  </si>
  <si>
    <t>T18R1</t>
  </si>
  <si>
    <t>T18R2</t>
  </si>
  <si>
    <t>T18R3</t>
  </si>
  <si>
    <t>Cikur3.3</t>
  </si>
  <si>
    <t>T19R1</t>
  </si>
  <si>
    <t>T19R2</t>
  </si>
  <si>
    <t>T19R3</t>
  </si>
  <si>
    <t>GobrasS2.2</t>
  </si>
  <si>
    <t>T20R1</t>
  </si>
  <si>
    <t>T20R2</t>
  </si>
  <si>
    <t>T20R3</t>
  </si>
  <si>
    <t>MatxPat-Gen-no.-location</t>
  </si>
  <si>
    <t>A) SSD/SPD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</si>
</sst>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/>
    <xf numFmtId="0" fontId="1" fillId="2" borderId="2" xfId="0" applyFont="1" applyFill="1" applyBorder="1"/>
    <xf numFmtId="0" fontId="3" fillId="0" borderId="0" xfId="0" applyFont="1" applyFill="1"/>
    <xf numFmtId="0" fontId="1" fillId="3" borderId="1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4" xfId="0" applyBorder="1"/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5" borderId="7" xfId="0" applyFill="1" applyBorder="1"/>
    <xf numFmtId="0" fontId="5" fillId="6" borderId="0" xfId="0" applyFont="1" applyFill="1" applyAlignment="1"/>
    <xf numFmtId="0" fontId="6" fillId="6" borderId="0" xfId="0" applyFont="1" applyFill="1" applyAlignment="1"/>
    <xf numFmtId="0" fontId="6" fillId="6" borderId="0" xfId="0" applyFont="1" applyFill="1"/>
    <xf numFmtId="0" fontId="7" fillId="6" borderId="1" xfId="0" applyFont="1" applyFill="1" applyBorder="1" applyAlignment="1"/>
    <xf numFmtId="0" fontId="0" fillId="6" borderId="1" xfId="0" applyFill="1" applyBorder="1"/>
    <xf numFmtId="0" fontId="8" fillId="6" borderId="1" xfId="0" applyFont="1" applyFill="1" applyBorder="1"/>
    <xf numFmtId="0" fontId="0" fillId="6" borderId="0" xfId="0" applyFill="1"/>
    <xf numFmtId="0" fontId="9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0" fillId="0" borderId="0" xfId="0" quotePrefix="1" applyAlignment="1">
      <alignment horizontal="center" wrapText="1"/>
    </xf>
    <xf numFmtId="17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/>
    </xf>
    <xf numFmtId="0" fontId="10" fillId="0" borderId="0" xfId="0" applyFont="1" applyFill="1" applyAlignment="1">
      <alignment vertical="top"/>
    </xf>
    <xf numFmtId="0" fontId="10" fillId="0" borderId="0" xfId="0" applyFont="1"/>
    <xf numFmtId="0" fontId="1" fillId="4" borderId="0" xfId="0" applyFont="1" applyFill="1" applyAlignment="1">
      <alignment horizontal="center"/>
    </xf>
    <xf numFmtId="17" fontId="0" fillId="4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Border="1"/>
    <xf numFmtId="0" fontId="0" fillId="0" borderId="6" xfId="0" applyFill="1" applyBorder="1" applyAlignment="1">
      <alignment horizontal="center"/>
    </xf>
    <xf numFmtId="0" fontId="0" fillId="0" borderId="6" xfId="0" applyBorder="1"/>
    <xf numFmtId="0" fontId="4" fillId="0" borderId="7" xfId="0" applyFont="1" applyBorder="1"/>
    <xf numFmtId="0" fontId="0" fillId="0" borderId="6" xfId="0" applyFill="1" applyBorder="1"/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4" fillId="0" borderId="5" xfId="0" applyFont="1" applyBorder="1" applyAlignment="1">
      <alignment horizontal="center"/>
    </xf>
    <xf numFmtId="0" fontId="13" fillId="0" borderId="2" xfId="0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" fontId="12" fillId="0" borderId="2" xfId="0" applyNumberFormat="1" applyFont="1" applyFill="1" applyBorder="1" applyAlignment="1">
      <alignment horizontal="center" vertical="center"/>
    </xf>
    <xf numFmtId="2" fontId="12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/>
    </xf>
    <xf numFmtId="0" fontId="10" fillId="0" borderId="0" xfId="0" applyFont="1" applyFill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88"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FF330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117020</xdr:colOff>
      <xdr:row>4</xdr:row>
      <xdr:rowOff>54428</xdr:rowOff>
    </xdr:from>
    <xdr:to>
      <xdr:col>4</xdr:col>
      <xdr:colOff>1197427</xdr:colOff>
      <xdr:row>37</xdr:row>
      <xdr:rowOff>40821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192234" y="816428"/>
          <a:ext cx="1080407" cy="189139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200024</xdr:colOff>
      <xdr:row>4</xdr:row>
      <xdr:rowOff>68037</xdr:rowOff>
    </xdr:from>
    <xdr:to>
      <xdr:col>8</xdr:col>
      <xdr:colOff>353786</xdr:colOff>
      <xdr:row>37</xdr:row>
      <xdr:rowOff>161925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9588953" y="830037"/>
          <a:ext cx="766083" cy="19988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149681</xdr:colOff>
      <xdr:row>36</xdr:row>
      <xdr:rowOff>108857</xdr:rowOff>
    </xdr:from>
    <xdr:to>
      <xdr:col>9</xdr:col>
      <xdr:colOff>666750</xdr:colOff>
      <xdr:row>44</xdr:row>
      <xdr:rowOff>95249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rot="10800000" flipV="1">
          <a:off x="9688288" y="2585357"/>
          <a:ext cx="1741712" cy="1129392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65"/>
  <sheetViews>
    <sheetView tabSelected="1" topLeftCell="B1" zoomScale="90" zoomScaleNormal="90" workbookViewId="0">
      <selection activeCell="C13" sqref="C13"/>
    </sheetView>
  </sheetViews>
  <sheetFormatPr defaultRowHeight="15" x14ac:dyDescent="0.25"/>
  <cols>
    <col min="2" max="2" width="9.5703125" bestFit="1" customWidth="1"/>
    <col min="3" max="3" width="29.85546875" bestFit="1" customWidth="1"/>
    <col min="4" max="4" width="17.28515625" customWidth="1"/>
    <col min="5" max="5" width="22.140625" bestFit="1" customWidth="1"/>
    <col min="6" max="6" width="56" bestFit="1" customWidth="1"/>
    <col min="7" max="7" width="26.28515625" bestFit="1" customWidth="1"/>
    <col min="10" max="10" width="18.7109375" customWidth="1"/>
  </cols>
  <sheetData>
    <row r="3" spans="2:10" x14ac:dyDescent="0.25">
      <c r="B3" s="3"/>
      <c r="C3" s="3"/>
      <c r="D3" s="3"/>
    </row>
    <row r="4" spans="2:10" x14ac:dyDescent="0.25">
      <c r="B4" s="3"/>
      <c r="C4" s="3"/>
      <c r="D4" s="3"/>
      <c r="F4" s="18"/>
      <c r="G4" s="55"/>
    </row>
    <row r="5" spans="2:10" x14ac:dyDescent="0.25">
      <c r="B5" s="3"/>
      <c r="C5" s="3"/>
      <c r="D5" s="3"/>
      <c r="F5" s="57"/>
      <c r="G5" s="58" t="s">
        <v>3055</v>
      </c>
    </row>
    <row r="6" spans="2:10" x14ac:dyDescent="0.25">
      <c r="B6" s="3"/>
      <c r="C6" s="3"/>
      <c r="D6" s="3"/>
      <c r="F6" s="19" t="s">
        <v>3092</v>
      </c>
      <c r="G6" s="20"/>
    </row>
    <row r="7" spans="2:10" x14ac:dyDescent="0.25">
      <c r="B7" s="3"/>
      <c r="C7" s="3"/>
      <c r="D7" s="3"/>
      <c r="F7" s="59" t="s">
        <v>3086</v>
      </c>
      <c r="G7" s="60" t="s">
        <v>3056</v>
      </c>
      <c r="J7" s="54" t="s">
        <v>1186</v>
      </c>
    </row>
    <row r="8" spans="2:10" x14ac:dyDescent="0.25">
      <c r="B8" s="3"/>
      <c r="C8" s="3"/>
      <c r="D8" s="3"/>
      <c r="F8" s="59" t="s">
        <v>3087</v>
      </c>
      <c r="G8" s="60" t="s">
        <v>3057</v>
      </c>
      <c r="J8" s="24"/>
    </row>
    <row r="9" spans="2:10" x14ac:dyDescent="0.25">
      <c r="B9" s="3"/>
      <c r="C9" s="17" t="s">
        <v>1181</v>
      </c>
      <c r="D9" s="17"/>
      <c r="F9" s="59" t="s">
        <v>3059</v>
      </c>
      <c r="G9" s="61" t="s">
        <v>3058</v>
      </c>
      <c r="J9" s="1" t="s">
        <v>1188</v>
      </c>
    </row>
    <row r="10" spans="2:10" x14ac:dyDescent="0.25">
      <c r="B10" s="3"/>
      <c r="C10" s="52" t="s">
        <v>0</v>
      </c>
      <c r="D10" s="52"/>
      <c r="F10" s="59" t="s">
        <v>3061</v>
      </c>
      <c r="G10" s="61" t="s">
        <v>3060</v>
      </c>
      <c r="J10" s="1" t="s">
        <v>1189</v>
      </c>
    </row>
    <row r="11" spans="2:10" x14ac:dyDescent="0.25">
      <c r="B11" s="3" t="s">
        <v>1204</v>
      </c>
      <c r="C11" s="53" t="s">
        <v>1179</v>
      </c>
      <c r="D11" s="7"/>
      <c r="F11" s="59" t="s">
        <v>3063</v>
      </c>
      <c r="G11" s="61" t="s">
        <v>3062</v>
      </c>
      <c r="J11" s="1" t="s">
        <v>1190</v>
      </c>
    </row>
    <row r="12" spans="2:10" x14ac:dyDescent="0.25">
      <c r="B12" s="3"/>
      <c r="C12" s="17" t="s">
        <v>3209</v>
      </c>
      <c r="D12" s="17"/>
      <c r="F12" s="59"/>
      <c r="G12" s="61"/>
      <c r="J12" s="1" t="s">
        <v>1192</v>
      </c>
    </row>
    <row r="13" spans="2:10" x14ac:dyDescent="0.25">
      <c r="B13" s="3"/>
      <c r="C13" s="17" t="s">
        <v>1185</v>
      </c>
      <c r="D13" s="17"/>
      <c r="F13" s="56"/>
      <c r="G13" s="62" t="s">
        <v>3088</v>
      </c>
      <c r="J13" s="1" t="s">
        <v>1193</v>
      </c>
    </row>
    <row r="14" spans="2:10" x14ac:dyDescent="0.25">
      <c r="B14" s="3"/>
      <c r="C14" s="52" t="s">
        <v>0</v>
      </c>
      <c r="D14" s="52"/>
      <c r="F14" s="57" t="s">
        <v>3066</v>
      </c>
      <c r="G14" s="61" t="s">
        <v>3065</v>
      </c>
      <c r="J14" s="1" t="s">
        <v>1191</v>
      </c>
    </row>
    <row r="15" spans="2:10" x14ac:dyDescent="0.25">
      <c r="B15" s="3"/>
      <c r="C15" s="17" t="s">
        <v>794</v>
      </c>
      <c r="D15" s="17"/>
      <c r="F15" s="57" t="s">
        <v>3070</v>
      </c>
      <c r="G15" s="61" t="s">
        <v>3069</v>
      </c>
      <c r="J15" s="1"/>
    </row>
    <row r="16" spans="2:10" x14ac:dyDescent="0.25">
      <c r="B16" s="3"/>
      <c r="C16" s="2" t="s">
        <v>0</v>
      </c>
      <c r="D16" s="17"/>
      <c r="F16" s="57" t="s">
        <v>378</v>
      </c>
      <c r="G16" s="61" t="s">
        <v>3073</v>
      </c>
      <c r="J16" s="1"/>
    </row>
    <row r="17" spans="2:10" x14ac:dyDescent="0.25">
      <c r="B17" s="3"/>
      <c r="C17" s="1" t="s">
        <v>1180</v>
      </c>
      <c r="D17" s="17"/>
      <c r="F17" s="57" t="s">
        <v>3077</v>
      </c>
      <c r="G17" s="61" t="s">
        <v>3076</v>
      </c>
      <c r="J17" s="1"/>
    </row>
    <row r="18" spans="2:10" x14ac:dyDescent="0.25">
      <c r="B18" s="3"/>
      <c r="C18" s="2"/>
      <c r="D18" s="17"/>
      <c r="F18" s="57" t="s">
        <v>3081</v>
      </c>
      <c r="G18" s="61" t="s">
        <v>3080</v>
      </c>
      <c r="J18" s="1"/>
    </row>
    <row r="19" spans="2:10" x14ac:dyDescent="0.25">
      <c r="B19" s="3"/>
      <c r="C19" s="17"/>
      <c r="D19" s="17"/>
      <c r="F19" s="57" t="s">
        <v>3085</v>
      </c>
      <c r="G19" s="61" t="s">
        <v>3084</v>
      </c>
      <c r="J19" s="1"/>
    </row>
    <row r="20" spans="2:10" x14ac:dyDescent="0.25">
      <c r="B20" s="3"/>
      <c r="C20" s="17"/>
      <c r="D20" s="17"/>
      <c r="F20" s="57" t="s">
        <v>3089</v>
      </c>
      <c r="G20" s="61"/>
      <c r="J20" s="1"/>
    </row>
    <row r="21" spans="2:10" x14ac:dyDescent="0.25">
      <c r="B21" s="3"/>
      <c r="C21" s="17"/>
      <c r="D21" s="17"/>
      <c r="F21" s="57" t="s">
        <v>3093</v>
      </c>
      <c r="G21" s="61"/>
      <c r="J21" s="1"/>
    </row>
    <row r="22" spans="2:10" x14ac:dyDescent="0.25">
      <c r="B22" s="3"/>
      <c r="C22" s="17"/>
      <c r="D22" s="17"/>
      <c r="F22" s="57" t="s">
        <v>3090</v>
      </c>
      <c r="G22" s="61"/>
      <c r="J22" s="1"/>
    </row>
    <row r="23" spans="2:10" x14ac:dyDescent="0.25">
      <c r="B23" s="3"/>
      <c r="C23" s="17"/>
      <c r="D23" s="17"/>
      <c r="F23" s="57" t="s">
        <v>3091</v>
      </c>
      <c r="G23" s="61"/>
      <c r="J23" s="1"/>
    </row>
    <row r="24" spans="2:10" x14ac:dyDescent="0.25">
      <c r="B24" s="3"/>
      <c r="C24" s="17"/>
      <c r="D24" s="17"/>
      <c r="F24" s="57"/>
      <c r="G24" s="61"/>
      <c r="J24" s="1"/>
    </row>
    <row r="25" spans="2:10" x14ac:dyDescent="0.25">
      <c r="B25" s="3"/>
      <c r="C25" s="17"/>
      <c r="D25" s="17"/>
      <c r="F25" s="21"/>
      <c r="G25" s="20"/>
      <c r="J25" s="1"/>
    </row>
    <row r="26" spans="2:10" x14ac:dyDescent="0.25">
      <c r="B26" s="3"/>
      <c r="C26" s="17"/>
      <c r="D26" s="17"/>
      <c r="F26" s="21"/>
      <c r="G26" s="63" t="s">
        <v>3064</v>
      </c>
      <c r="J26" s="1"/>
    </row>
    <row r="27" spans="2:10" x14ac:dyDescent="0.25">
      <c r="B27" s="3"/>
      <c r="C27" s="17"/>
      <c r="D27" s="17"/>
      <c r="F27" s="57" t="s">
        <v>3068</v>
      </c>
      <c r="G27" s="60" t="s">
        <v>3067</v>
      </c>
      <c r="J27" s="1"/>
    </row>
    <row r="28" spans="2:10" x14ac:dyDescent="0.25">
      <c r="B28" s="3"/>
      <c r="C28" s="17"/>
      <c r="D28" s="17"/>
      <c r="F28" s="57" t="s">
        <v>3072</v>
      </c>
      <c r="G28" s="60" t="s">
        <v>3071</v>
      </c>
      <c r="J28" s="1"/>
    </row>
    <row r="29" spans="2:10" x14ac:dyDescent="0.25">
      <c r="B29" s="3"/>
      <c r="C29" s="17"/>
      <c r="D29" s="17"/>
      <c r="F29" s="57" t="s">
        <v>3075</v>
      </c>
      <c r="G29" s="60" t="s">
        <v>3074</v>
      </c>
      <c r="J29" s="1"/>
    </row>
    <row r="30" spans="2:10" x14ac:dyDescent="0.25">
      <c r="B30" s="3"/>
      <c r="C30" s="17"/>
      <c r="D30" s="17"/>
      <c r="F30" s="57" t="s">
        <v>3079</v>
      </c>
      <c r="G30" s="60" t="s">
        <v>3078</v>
      </c>
      <c r="J30" s="1"/>
    </row>
    <row r="31" spans="2:10" x14ac:dyDescent="0.25">
      <c r="B31" s="3"/>
      <c r="C31" s="17"/>
      <c r="D31" s="17"/>
      <c r="F31" s="57" t="s">
        <v>3083</v>
      </c>
      <c r="G31" s="60" t="s">
        <v>3082</v>
      </c>
      <c r="J31" s="1"/>
    </row>
    <row r="32" spans="2:10" x14ac:dyDescent="0.25">
      <c r="F32" s="64"/>
      <c r="G32" s="23"/>
    </row>
    <row r="33" spans="6:7" x14ac:dyDescent="0.25">
      <c r="F33" s="25"/>
      <c r="G33" s="25"/>
    </row>
    <row r="34" spans="6:7" x14ac:dyDescent="0.25">
      <c r="F34" s="25"/>
      <c r="G34" s="25"/>
    </row>
    <row r="35" spans="6:7" x14ac:dyDescent="0.25">
      <c r="F35" s="18"/>
      <c r="G35" s="65" t="s">
        <v>1182</v>
      </c>
    </row>
    <row r="36" spans="6:7" x14ac:dyDescent="0.25">
      <c r="F36" s="19" t="s">
        <v>1183</v>
      </c>
      <c r="G36" s="20"/>
    </row>
    <row r="37" spans="6:7" x14ac:dyDescent="0.25">
      <c r="F37" s="21"/>
      <c r="G37" s="26" t="s">
        <v>3208</v>
      </c>
    </row>
    <row r="38" spans="6:7" x14ac:dyDescent="0.25">
      <c r="F38" s="22"/>
      <c r="G38" s="23"/>
    </row>
    <row r="39" spans="6:7" x14ac:dyDescent="0.25">
      <c r="F39" s="77" t="s">
        <v>0</v>
      </c>
      <c r="G39" s="77"/>
    </row>
    <row r="40" spans="6:7" x14ac:dyDescent="0.25">
      <c r="F40" s="73" t="s">
        <v>1187</v>
      </c>
      <c r="G40" s="74"/>
    </row>
    <row r="41" spans="6:7" x14ac:dyDescent="0.25">
      <c r="F41" s="79" t="s">
        <v>1194</v>
      </c>
      <c r="G41" s="79"/>
    </row>
    <row r="42" spans="6:7" x14ac:dyDescent="0.25">
      <c r="F42" s="79" t="s">
        <v>1198</v>
      </c>
      <c r="G42" s="79"/>
    </row>
    <row r="43" spans="6:7" x14ac:dyDescent="0.25">
      <c r="F43" s="79" t="s">
        <v>1199</v>
      </c>
      <c r="G43" s="79"/>
    </row>
    <row r="44" spans="6:7" x14ac:dyDescent="0.25">
      <c r="F44" s="78" t="s">
        <v>0</v>
      </c>
      <c r="G44" s="78"/>
    </row>
    <row r="45" spans="6:7" x14ac:dyDescent="0.25">
      <c r="F45" s="75" t="s">
        <v>1184</v>
      </c>
      <c r="G45" s="76"/>
    </row>
    <row r="54" spans="3:20" x14ac:dyDescent="0.25">
      <c r="C54" s="27" t="s">
        <v>1205</v>
      </c>
      <c r="D54" s="27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9"/>
      <c r="R54" s="29"/>
      <c r="S54" s="29"/>
      <c r="T54" s="29"/>
    </row>
    <row r="55" spans="3:20" x14ac:dyDescent="0.25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9"/>
      <c r="R55" s="29"/>
      <c r="S55" s="29"/>
      <c r="T55" s="29"/>
    </row>
    <row r="56" spans="3:20" x14ac:dyDescent="0.25">
      <c r="C56" s="30" t="s">
        <v>1206</v>
      </c>
      <c r="D56" s="30"/>
      <c r="E56" s="30"/>
      <c r="F56" s="30" t="s">
        <v>1207</v>
      </c>
      <c r="G56" s="30"/>
      <c r="H56" s="30"/>
      <c r="I56" s="31"/>
      <c r="J56" s="32" t="s">
        <v>1208</v>
      </c>
      <c r="K56" s="31"/>
      <c r="L56" s="31"/>
      <c r="M56" s="31"/>
      <c r="N56" s="31"/>
      <c r="O56" s="33"/>
      <c r="P56" s="28"/>
      <c r="Q56" s="29"/>
      <c r="R56" s="29"/>
      <c r="S56" s="29"/>
      <c r="T56" s="29"/>
    </row>
    <row r="57" spans="3:20" ht="15.75" x14ac:dyDescent="0.25">
      <c r="C57" s="34" t="s">
        <v>1209</v>
      </c>
      <c r="D57" s="34"/>
      <c r="E57" s="29"/>
      <c r="F57" s="33" t="s">
        <v>1210</v>
      </c>
      <c r="G57" s="33"/>
      <c r="H57" s="33"/>
      <c r="I57" s="28"/>
      <c r="J57" s="33" t="s">
        <v>1211</v>
      </c>
      <c r="K57" s="33"/>
      <c r="L57" s="33"/>
      <c r="M57" s="33"/>
      <c r="N57" s="33"/>
      <c r="O57" s="33"/>
      <c r="P57" s="28"/>
      <c r="Q57" s="29"/>
      <c r="R57" s="29"/>
      <c r="S57" s="29"/>
      <c r="T57" s="29"/>
    </row>
    <row r="58" spans="3:20" ht="15.75" x14ac:dyDescent="0.25">
      <c r="C58" s="34"/>
      <c r="D58" s="3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28"/>
      <c r="Q58" s="29"/>
      <c r="R58" s="29"/>
      <c r="S58" s="29"/>
      <c r="T58" s="29"/>
    </row>
    <row r="59" spans="3:20" ht="15.75" x14ac:dyDescent="0.25">
      <c r="C59" s="34" t="s">
        <v>1212</v>
      </c>
      <c r="D59" s="34"/>
      <c r="E59" s="29"/>
      <c r="F59" s="35" t="s">
        <v>1213</v>
      </c>
      <c r="G59" s="33"/>
      <c r="H59" s="33"/>
      <c r="I59" s="33"/>
      <c r="J59" s="29" t="s">
        <v>1214</v>
      </c>
      <c r="K59" s="33" t="s">
        <v>1215</v>
      </c>
      <c r="L59" s="33"/>
      <c r="M59" s="33"/>
      <c r="N59" s="33"/>
      <c r="O59" s="33"/>
      <c r="P59" s="28"/>
      <c r="Q59" s="29"/>
      <c r="R59" s="29"/>
      <c r="S59" s="29"/>
      <c r="T59" s="29"/>
    </row>
    <row r="60" spans="3:20" ht="15.75" x14ac:dyDescent="0.25">
      <c r="C60" s="34"/>
      <c r="D60" s="3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28"/>
      <c r="Q60" s="29"/>
      <c r="R60" s="29"/>
      <c r="S60" s="29"/>
      <c r="T60" s="29"/>
    </row>
    <row r="61" spans="3:20" ht="15.75" x14ac:dyDescent="0.25">
      <c r="C61" s="34" t="s">
        <v>1216</v>
      </c>
      <c r="D61" s="34"/>
      <c r="E61" s="29"/>
      <c r="F61" s="33" t="s">
        <v>1217</v>
      </c>
      <c r="G61" s="33"/>
      <c r="H61" s="33"/>
      <c r="I61" s="33"/>
      <c r="J61" s="33" t="s">
        <v>1218</v>
      </c>
      <c r="K61" s="33"/>
      <c r="L61" s="33"/>
      <c r="M61" s="33"/>
      <c r="N61" s="33"/>
      <c r="O61" s="33"/>
      <c r="P61" s="28"/>
      <c r="Q61" s="29"/>
      <c r="R61" s="29"/>
      <c r="S61" s="29"/>
      <c r="T61" s="29"/>
    </row>
    <row r="62" spans="3:20" ht="15.75" x14ac:dyDescent="0.25">
      <c r="C62" s="34"/>
      <c r="D62" s="34"/>
      <c r="E62" s="29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28"/>
      <c r="Q62" s="29"/>
      <c r="R62" s="29"/>
      <c r="S62" s="29"/>
      <c r="T62" s="29"/>
    </row>
    <row r="63" spans="3:20" ht="15.75" x14ac:dyDescent="0.25">
      <c r="C63" s="34" t="s">
        <v>1219</v>
      </c>
      <c r="D63" s="34"/>
      <c r="E63" s="29"/>
      <c r="F63" s="33" t="s">
        <v>1220</v>
      </c>
      <c r="G63" s="33"/>
      <c r="H63" s="33"/>
      <c r="I63" s="33"/>
      <c r="J63" s="33"/>
      <c r="K63" s="33"/>
      <c r="L63" s="33"/>
      <c r="M63" s="33"/>
      <c r="N63" s="33"/>
      <c r="O63" s="33"/>
      <c r="P63" s="28"/>
      <c r="Q63" s="29"/>
      <c r="R63" s="29"/>
      <c r="S63" s="29"/>
      <c r="T63" s="29"/>
    </row>
    <row r="64" spans="3:20" ht="15.75" x14ac:dyDescent="0.25">
      <c r="C64" s="34"/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28"/>
      <c r="Q64" s="29"/>
      <c r="R64" s="29"/>
      <c r="S64" s="29"/>
      <c r="T64" s="29"/>
    </row>
    <row r="65" spans="3:20" ht="15.75" x14ac:dyDescent="0.25">
      <c r="C65" s="34" t="s">
        <v>1221</v>
      </c>
      <c r="D65" s="34"/>
      <c r="E65" s="29"/>
      <c r="F65" s="33" t="s">
        <v>1222</v>
      </c>
      <c r="G65" s="33"/>
      <c r="H65" s="33"/>
      <c r="I65" s="33"/>
      <c r="J65" s="33" t="s">
        <v>1223</v>
      </c>
      <c r="K65" s="33"/>
      <c r="L65" s="33"/>
      <c r="M65" s="33"/>
      <c r="N65" s="33"/>
      <c r="O65" s="33"/>
      <c r="P65" s="28"/>
      <c r="Q65" s="29"/>
      <c r="R65" s="29"/>
      <c r="S65" s="29"/>
      <c r="T65" s="29"/>
    </row>
  </sheetData>
  <mergeCells count="7">
    <mergeCell ref="F40:G40"/>
    <mergeCell ref="F45:G45"/>
    <mergeCell ref="F39:G39"/>
    <mergeCell ref="F44:G44"/>
    <mergeCell ref="F41:G41"/>
    <mergeCell ref="F42:G42"/>
    <mergeCell ref="F43:G4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7"/>
  <sheetViews>
    <sheetView topLeftCell="A9" zoomScale="80" zoomScaleNormal="80" workbookViewId="0">
      <selection activeCell="B29" sqref="B29"/>
    </sheetView>
  </sheetViews>
  <sheetFormatPr defaultRowHeight="15" x14ac:dyDescent="0.25"/>
  <cols>
    <col min="1" max="2" width="31.5703125" customWidth="1"/>
    <col min="3" max="3" width="58.85546875" bestFit="1" customWidth="1"/>
    <col min="4" max="4" width="8.7109375" bestFit="1" customWidth="1"/>
    <col min="5" max="5" width="39.28515625" bestFit="1" customWidth="1"/>
    <col min="6" max="6" width="22" bestFit="1" customWidth="1"/>
    <col min="7" max="7" width="17.85546875" bestFit="1" customWidth="1"/>
    <col min="8" max="8" width="31.5703125" bestFit="1" customWidth="1"/>
    <col min="9" max="9" width="158.7109375" bestFit="1" customWidth="1"/>
  </cols>
  <sheetData>
    <row r="2" spans="1:17" x14ac:dyDescent="0.25">
      <c r="A2" s="4" t="s">
        <v>1224</v>
      </c>
      <c r="B2" s="4"/>
      <c r="C2" s="4"/>
      <c r="D2" s="4"/>
      <c r="E2" s="4" t="s">
        <v>1</v>
      </c>
      <c r="F2" s="4"/>
    </row>
    <row r="3" spans="1:17" x14ac:dyDescent="0.25">
      <c r="A3" t="s">
        <v>1225</v>
      </c>
      <c r="C3" t="s">
        <v>1226</v>
      </c>
      <c r="E3" t="s">
        <v>1195</v>
      </c>
    </row>
    <row r="4" spans="1:17" x14ac:dyDescent="0.25">
      <c r="A4" t="s">
        <v>788</v>
      </c>
      <c r="C4" t="s">
        <v>1262</v>
      </c>
      <c r="E4" t="s">
        <v>1177</v>
      </c>
    </row>
    <row r="5" spans="1:17" x14ac:dyDescent="0.25">
      <c r="A5" t="s">
        <v>1227</v>
      </c>
      <c r="C5" t="s">
        <v>1175</v>
      </c>
      <c r="E5" t="s">
        <v>1178</v>
      </c>
    </row>
    <row r="6" spans="1:17" x14ac:dyDescent="0.25">
      <c r="A6" t="s">
        <v>1196</v>
      </c>
      <c r="C6" t="s">
        <v>1197</v>
      </c>
      <c r="E6" t="s">
        <v>1177</v>
      </c>
    </row>
    <row r="7" spans="1:17" x14ac:dyDescent="0.25">
      <c r="A7" t="s">
        <v>1230</v>
      </c>
      <c r="C7" t="s">
        <v>1231</v>
      </c>
    </row>
    <row r="11" spans="1:17" x14ac:dyDescent="0.25">
      <c r="A11" s="3"/>
      <c r="B11" s="3"/>
    </row>
    <row r="12" spans="1:17" s="6" customFormat="1" x14ac:dyDescent="0.25">
      <c r="A12" s="49" t="s">
        <v>1236</v>
      </c>
      <c r="B12" s="49" t="s">
        <v>3054</v>
      </c>
      <c r="C12" s="6" t="s">
        <v>1</v>
      </c>
      <c r="D12" s="6" t="s">
        <v>787</v>
      </c>
      <c r="E12" s="6" t="s">
        <v>1229</v>
      </c>
      <c r="F12" s="6" t="s">
        <v>1235</v>
      </c>
      <c r="G12" s="6" t="s">
        <v>1202</v>
      </c>
      <c r="H12" s="6" t="s">
        <v>1200</v>
      </c>
      <c r="I12" s="6" t="s">
        <v>1174</v>
      </c>
    </row>
    <row r="13" spans="1:17" s="6" customFormat="1" x14ac:dyDescent="0.25">
      <c r="A13" s="3" t="s">
        <v>1244</v>
      </c>
      <c r="B13" s="45"/>
      <c r="D13" s="43" t="s">
        <v>1258</v>
      </c>
      <c r="E13" s="38">
        <v>2014</v>
      </c>
      <c r="F13" s="43" t="s">
        <v>1258</v>
      </c>
      <c r="I13" s="80" t="s">
        <v>1248</v>
      </c>
      <c r="J13" s="81"/>
      <c r="K13" s="80"/>
      <c r="L13" s="80"/>
      <c r="M13" s="80"/>
      <c r="N13" s="80"/>
      <c r="O13" s="80"/>
      <c r="P13" s="80"/>
      <c r="Q13" s="80"/>
    </row>
    <row r="14" spans="1:17" s="6" customFormat="1" x14ac:dyDescent="0.25">
      <c r="A14" s="50">
        <v>2015</v>
      </c>
      <c r="B14" s="51"/>
      <c r="C14" s="38" t="s">
        <v>788</v>
      </c>
      <c r="D14" s="43" t="s">
        <v>1258</v>
      </c>
      <c r="E14" s="38">
        <v>2015</v>
      </c>
      <c r="F14" s="43" t="s">
        <v>1258</v>
      </c>
      <c r="I14" s="39" t="s">
        <v>1249</v>
      </c>
      <c r="J14" s="40"/>
      <c r="K14" s="39"/>
      <c r="L14" s="39"/>
      <c r="M14" s="39"/>
      <c r="N14" s="39"/>
      <c r="O14" s="39"/>
      <c r="P14" s="39"/>
      <c r="Q14" s="39"/>
    </row>
    <row r="15" spans="1:17" s="6" customFormat="1" x14ac:dyDescent="0.25">
      <c r="A15" s="3" t="s">
        <v>1245</v>
      </c>
      <c r="B15" s="45" t="s">
        <v>3101</v>
      </c>
      <c r="C15" s="38" t="s">
        <v>1247</v>
      </c>
      <c r="D15" s="43" t="s">
        <v>1258</v>
      </c>
      <c r="E15" s="38" t="s">
        <v>1246</v>
      </c>
      <c r="F15" s="43" t="s">
        <v>1258</v>
      </c>
      <c r="I15" s="41" t="s">
        <v>1249</v>
      </c>
      <c r="J15" s="41"/>
      <c r="K15" s="41"/>
      <c r="L15" s="41"/>
      <c r="M15" s="41"/>
      <c r="N15" s="41"/>
      <c r="O15" s="41"/>
      <c r="P15" s="41"/>
      <c r="Q15" s="41"/>
    </row>
    <row r="16" spans="1:17" s="6" customFormat="1" x14ac:dyDescent="0.25">
      <c r="A16" s="49"/>
      <c r="B16" s="43"/>
      <c r="D16" s="43"/>
      <c r="F16" s="43"/>
      <c r="I16" s="41"/>
      <c r="J16" s="41"/>
      <c r="K16" s="41"/>
      <c r="L16" s="41"/>
      <c r="M16" s="41"/>
      <c r="N16" s="41"/>
      <c r="O16" s="41"/>
      <c r="P16" s="41"/>
      <c r="Q16" s="41"/>
    </row>
    <row r="17" spans="1:17" x14ac:dyDescent="0.25">
      <c r="A17" s="3" t="s">
        <v>1237</v>
      </c>
      <c r="B17" s="45" t="s">
        <v>3094</v>
      </c>
      <c r="C17" s="1" t="s">
        <v>788</v>
      </c>
      <c r="D17" s="43" t="s">
        <v>1258</v>
      </c>
      <c r="E17" s="37" t="s">
        <v>1232</v>
      </c>
      <c r="F17" s="43" t="s">
        <v>1258</v>
      </c>
      <c r="G17" t="s">
        <v>1176</v>
      </c>
      <c r="I17" s="41" t="s">
        <v>1250</v>
      </c>
      <c r="J17" s="41"/>
      <c r="K17" s="41"/>
      <c r="L17" s="41"/>
      <c r="M17" s="41"/>
      <c r="N17" s="41"/>
      <c r="O17" s="41"/>
      <c r="P17" s="41"/>
      <c r="Q17" s="41"/>
    </row>
    <row r="18" spans="1:17" x14ac:dyDescent="0.25">
      <c r="A18" s="3" t="s">
        <v>1238</v>
      </c>
      <c r="B18" s="45" t="s">
        <v>3095</v>
      </c>
      <c r="C18" s="1" t="s">
        <v>789</v>
      </c>
      <c r="D18" s="43" t="s">
        <v>1258</v>
      </c>
      <c r="E18" s="37" t="s">
        <v>1232</v>
      </c>
      <c r="F18" s="43" t="s">
        <v>1258</v>
      </c>
      <c r="G18" t="s">
        <v>1176</v>
      </c>
      <c r="I18" s="41" t="s">
        <v>1250</v>
      </c>
      <c r="J18" s="41"/>
      <c r="K18" s="41"/>
      <c r="L18" s="41"/>
      <c r="M18" s="41"/>
      <c r="N18" s="41"/>
      <c r="O18" s="41"/>
      <c r="P18" s="41"/>
      <c r="Q18" s="41"/>
    </row>
    <row r="19" spans="1:17" x14ac:dyDescent="0.25">
      <c r="A19" s="3" t="s">
        <v>1239</v>
      </c>
      <c r="B19" s="45" t="s">
        <v>3096</v>
      </c>
      <c r="C19" s="1" t="s">
        <v>788</v>
      </c>
      <c r="D19" s="43" t="s">
        <v>1258</v>
      </c>
      <c r="E19" s="37" t="s">
        <v>1233</v>
      </c>
      <c r="F19" s="43" t="s">
        <v>1258</v>
      </c>
      <c r="G19" t="s">
        <v>1176</v>
      </c>
      <c r="I19" s="41" t="s">
        <v>1251</v>
      </c>
      <c r="J19" s="41"/>
      <c r="K19" s="41"/>
      <c r="L19" s="41"/>
      <c r="M19" s="41"/>
      <c r="N19" s="41"/>
      <c r="O19" s="41"/>
      <c r="P19" s="41"/>
      <c r="Q19" s="41"/>
    </row>
    <row r="20" spans="1:17" x14ac:dyDescent="0.25">
      <c r="A20" s="3" t="s">
        <v>1240</v>
      </c>
      <c r="B20" s="45" t="s">
        <v>3097</v>
      </c>
      <c r="C20" s="1" t="s">
        <v>788</v>
      </c>
      <c r="D20" s="43" t="s">
        <v>1258</v>
      </c>
      <c r="E20" s="37" t="s">
        <v>1233</v>
      </c>
      <c r="F20" s="43" t="s">
        <v>1258</v>
      </c>
      <c r="G20" t="s">
        <v>1176</v>
      </c>
      <c r="I20" s="41" t="s">
        <v>1251</v>
      </c>
      <c r="J20" s="42"/>
      <c r="K20" s="42"/>
      <c r="L20" s="42"/>
      <c r="M20" s="42"/>
      <c r="N20" s="42"/>
      <c r="O20" s="42"/>
      <c r="P20" s="42"/>
      <c r="Q20" s="42"/>
    </row>
    <row r="21" spans="1:17" x14ac:dyDescent="0.25">
      <c r="A21" s="3" t="s">
        <v>1241</v>
      </c>
      <c r="B21" s="45" t="s">
        <v>3098</v>
      </c>
      <c r="C21" s="1" t="s">
        <v>789</v>
      </c>
      <c r="D21" s="43" t="s">
        <v>1258</v>
      </c>
      <c r="E21" s="37" t="s">
        <v>1233</v>
      </c>
      <c r="F21" s="43" t="s">
        <v>1258</v>
      </c>
      <c r="G21" t="s">
        <v>1176</v>
      </c>
      <c r="I21" s="80" t="s">
        <v>1252</v>
      </c>
      <c r="J21" s="80"/>
      <c r="K21" s="80"/>
      <c r="L21" s="80"/>
      <c r="M21" s="80"/>
      <c r="N21" s="80"/>
      <c r="O21" s="80"/>
      <c r="P21" s="80"/>
      <c r="Q21" s="80"/>
    </row>
    <row r="22" spans="1:17" x14ac:dyDescent="0.25">
      <c r="A22" s="3" t="s">
        <v>1242</v>
      </c>
      <c r="B22" s="45" t="s">
        <v>3099</v>
      </c>
      <c r="C22" s="1" t="s">
        <v>788</v>
      </c>
      <c r="D22" s="43" t="s">
        <v>1258</v>
      </c>
      <c r="E22" s="37" t="s">
        <v>1234</v>
      </c>
      <c r="F22" s="43" t="s">
        <v>1258</v>
      </c>
      <c r="G22" t="s">
        <v>790</v>
      </c>
      <c r="I22" s="82" t="s">
        <v>1253</v>
      </c>
      <c r="J22" s="82"/>
      <c r="K22" s="82"/>
      <c r="L22" s="82"/>
      <c r="M22" s="82"/>
      <c r="N22" s="82"/>
      <c r="O22" s="82"/>
      <c r="P22" s="82"/>
    </row>
    <row r="23" spans="1:17" x14ac:dyDescent="0.25">
      <c r="A23" s="3" t="s">
        <v>1243</v>
      </c>
      <c r="B23" s="45" t="s">
        <v>3100</v>
      </c>
      <c r="C23" s="1" t="s">
        <v>788</v>
      </c>
      <c r="D23" s="43" t="s">
        <v>1258</v>
      </c>
      <c r="E23" s="37" t="s">
        <v>1234</v>
      </c>
      <c r="F23" s="43" t="s">
        <v>1258</v>
      </c>
      <c r="G23" t="s">
        <v>791</v>
      </c>
      <c r="I23" s="82" t="s">
        <v>1254</v>
      </c>
      <c r="J23" s="82"/>
      <c r="K23" s="82"/>
      <c r="L23" s="82"/>
      <c r="M23" s="82"/>
      <c r="N23" s="82"/>
      <c r="O23" s="82"/>
      <c r="P23" s="82"/>
    </row>
    <row r="24" spans="1:17" x14ac:dyDescent="0.25">
      <c r="A24" s="3" t="s">
        <v>1255</v>
      </c>
      <c r="B24" s="45" t="s">
        <v>3102</v>
      </c>
      <c r="C24" s="1" t="s">
        <v>788</v>
      </c>
      <c r="D24" s="43" t="s">
        <v>1258</v>
      </c>
      <c r="E24" s="44" t="s">
        <v>1259</v>
      </c>
      <c r="F24" s="43" t="s">
        <v>1258</v>
      </c>
      <c r="G24" t="s">
        <v>791</v>
      </c>
    </row>
    <row r="25" spans="1:17" x14ac:dyDescent="0.25">
      <c r="A25" s="3" t="s">
        <v>1256</v>
      </c>
      <c r="B25" s="45" t="s">
        <v>3103</v>
      </c>
      <c r="C25" s="1" t="s">
        <v>788</v>
      </c>
      <c r="D25" s="43" t="s">
        <v>1258</v>
      </c>
      <c r="E25" s="44" t="s">
        <v>1259</v>
      </c>
      <c r="F25" s="43" t="s">
        <v>1258</v>
      </c>
      <c r="G25" t="s">
        <v>1176</v>
      </c>
    </row>
    <row r="26" spans="1:17" x14ac:dyDescent="0.25">
      <c r="A26" s="3" t="s">
        <v>1257</v>
      </c>
      <c r="B26" s="45" t="s">
        <v>3104</v>
      </c>
      <c r="C26" s="1" t="s">
        <v>788</v>
      </c>
      <c r="D26" s="43" t="s">
        <v>1258</v>
      </c>
      <c r="E26" s="44" t="s">
        <v>1259</v>
      </c>
      <c r="F26" s="43" t="s">
        <v>1258</v>
      </c>
      <c r="G26" t="s">
        <v>1176</v>
      </c>
    </row>
    <row r="27" spans="1:17" x14ac:dyDescent="0.25">
      <c r="A27" t="s">
        <v>1266</v>
      </c>
      <c r="C27" s="1" t="s">
        <v>1264</v>
      </c>
      <c r="D27" s="43"/>
      <c r="E27" s="44">
        <v>43344</v>
      </c>
      <c r="F27" s="43" t="s">
        <v>1263</v>
      </c>
      <c r="G27" t="s">
        <v>790</v>
      </c>
    </row>
    <row r="28" spans="1:17" x14ac:dyDescent="0.25">
      <c r="B28" s="45"/>
      <c r="C28" s="1" t="s">
        <v>1260</v>
      </c>
      <c r="D28" t="s">
        <v>1261</v>
      </c>
      <c r="H28" t="s">
        <v>1201</v>
      </c>
      <c r="I28" t="s">
        <v>1228</v>
      </c>
    </row>
    <row r="29" spans="1:17" x14ac:dyDescent="0.25">
      <c r="A29" t="s">
        <v>1267</v>
      </c>
      <c r="B29" s="45" t="s">
        <v>3105</v>
      </c>
      <c r="C29" s="1" t="s">
        <v>1260</v>
      </c>
      <c r="D29" t="s">
        <v>1261</v>
      </c>
      <c r="E29" s="46">
        <v>2017</v>
      </c>
      <c r="F29" s="43" t="s">
        <v>1268</v>
      </c>
      <c r="G29" t="s">
        <v>1269</v>
      </c>
    </row>
    <row r="30" spans="1:17" x14ac:dyDescent="0.25">
      <c r="C30" s="1"/>
    </row>
    <row r="31" spans="1:17" x14ac:dyDescent="0.25">
      <c r="C31" s="1"/>
    </row>
    <row r="32" spans="1:17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</sheetData>
  <mergeCells count="4">
    <mergeCell ref="I13:Q13"/>
    <mergeCell ref="I21:Q21"/>
    <mergeCell ref="I22:P22"/>
    <mergeCell ref="I23:P23"/>
  </mergeCells>
  <conditionalFormatting sqref="A18:B18">
    <cfRule type="containsText" dxfId="87" priority="82" operator="containsText" text="P7 (2016)">
      <formula>NOT(ISERROR(SEARCH("P7 (2016)",A18)))</formula>
    </cfRule>
    <cfRule type="containsText" dxfId="86" priority="83" operator="containsText" text="NP">
      <formula>NOT(ISERROR(SEARCH("NP",A18)))</formula>
    </cfRule>
    <cfRule type="containsText" dxfId="85" priority="84" operator="containsText" text="P7 (2015/ON HILL)">
      <formula>NOT(ISERROR(SEARCH("P7 (2015/ON HILL)",A18)))</formula>
    </cfRule>
    <cfRule type="containsText" dxfId="84" priority="85" operator="containsText" text="M (2015/NURSERY)">
      <formula>NOT(ISERROR(SEARCH("M (2015/NURSERY)",A18)))</formula>
    </cfRule>
    <cfRule type="containsText" dxfId="83" priority="86" operator="containsText" text="M (2016/PLOT3)">
      <formula>NOT(ISERROR(SEARCH("M (2016/PLOT3)",A18)))</formula>
    </cfRule>
    <cfRule type="containsText" dxfId="82" priority="87" operator="containsText" text="M (2017)">
      <formula>NOT(ISERROR(SEARCH("M (2017)",A18)))</formula>
    </cfRule>
    <cfRule type="containsText" dxfId="81" priority="88" operator="containsText" text="P1 (2017)">
      <formula>NOT(ISERROR(SEARCH("P1 (2017)",A18)))</formula>
    </cfRule>
  </conditionalFormatting>
  <conditionalFormatting sqref="A18:B18">
    <cfRule type="expression" dxfId="80" priority="81">
      <formula>"P7 (2016)"</formula>
    </cfRule>
  </conditionalFormatting>
  <conditionalFormatting sqref="A17:B17">
    <cfRule type="containsText" dxfId="79" priority="74" operator="containsText" text="P7 (2016)">
      <formula>NOT(ISERROR(SEARCH("P7 (2016)",A17)))</formula>
    </cfRule>
    <cfRule type="containsText" dxfId="78" priority="75" operator="containsText" text="NP">
      <formula>NOT(ISERROR(SEARCH("NP",A17)))</formula>
    </cfRule>
    <cfRule type="containsText" dxfId="77" priority="76" operator="containsText" text="P7 (2015/ON HILL)">
      <formula>NOT(ISERROR(SEARCH("P7 (2015/ON HILL)",A17)))</formula>
    </cfRule>
    <cfRule type="containsText" dxfId="76" priority="77" operator="containsText" text="M (2015/NURSERY)">
      <formula>NOT(ISERROR(SEARCH("M (2015/NURSERY)",A17)))</formula>
    </cfRule>
    <cfRule type="containsText" dxfId="75" priority="78" operator="containsText" text="M (2016/PLOT3)">
      <formula>NOT(ISERROR(SEARCH("M (2016/PLOT3)",A17)))</formula>
    </cfRule>
    <cfRule type="containsText" dxfId="74" priority="79" operator="containsText" text="M (2017)">
      <formula>NOT(ISERROR(SEARCH("M (2017)",A17)))</formula>
    </cfRule>
    <cfRule type="containsText" dxfId="73" priority="80" operator="containsText" text="P1 (2017)">
      <formula>NOT(ISERROR(SEARCH("P1 (2017)",A17)))</formula>
    </cfRule>
  </conditionalFormatting>
  <conditionalFormatting sqref="A17:B17">
    <cfRule type="expression" dxfId="72" priority="73">
      <formula>"P7 (2016)"</formula>
    </cfRule>
  </conditionalFormatting>
  <conditionalFormatting sqref="A23:B23">
    <cfRule type="containsText" dxfId="71" priority="66" operator="containsText" text="P7 (2016)">
      <formula>NOT(ISERROR(SEARCH("P7 (2016)",A23)))</formula>
    </cfRule>
    <cfRule type="containsText" dxfId="70" priority="67" operator="containsText" text="NP">
      <formula>NOT(ISERROR(SEARCH("NP",A23)))</formula>
    </cfRule>
    <cfRule type="containsText" dxfId="69" priority="68" operator="containsText" text="P7 (2015/ON HILL)">
      <formula>NOT(ISERROR(SEARCH("P7 (2015/ON HILL)",A23)))</formula>
    </cfRule>
    <cfRule type="containsText" dxfId="68" priority="69" operator="containsText" text="M (2015/NURSERY)">
      <formula>NOT(ISERROR(SEARCH("M (2015/NURSERY)",A23)))</formula>
    </cfRule>
    <cfRule type="containsText" dxfId="67" priority="70" operator="containsText" text="M (2016/PLOT3)">
      <formula>NOT(ISERROR(SEARCH("M (2016/PLOT3)",A23)))</formula>
    </cfRule>
    <cfRule type="containsText" dxfId="66" priority="71" operator="containsText" text="M (2017)">
      <formula>NOT(ISERROR(SEARCH("M (2017)",A23)))</formula>
    </cfRule>
    <cfRule type="containsText" dxfId="65" priority="72" operator="containsText" text="P1 (2017)">
      <formula>NOT(ISERROR(SEARCH("P1 (2017)",A23)))</formula>
    </cfRule>
  </conditionalFormatting>
  <conditionalFormatting sqref="A23:B23">
    <cfRule type="expression" dxfId="64" priority="65">
      <formula>"P7 (2016)"</formula>
    </cfRule>
  </conditionalFormatting>
  <conditionalFormatting sqref="A22:B22">
    <cfRule type="containsText" dxfId="63" priority="58" operator="containsText" text="P7 (2016)">
      <formula>NOT(ISERROR(SEARCH("P7 (2016)",A22)))</formula>
    </cfRule>
    <cfRule type="containsText" dxfId="62" priority="59" operator="containsText" text="NP">
      <formula>NOT(ISERROR(SEARCH("NP",A22)))</formula>
    </cfRule>
    <cfRule type="containsText" dxfId="61" priority="60" operator="containsText" text="P7 (2015/ON HILL)">
      <formula>NOT(ISERROR(SEARCH("P7 (2015/ON HILL)",A22)))</formula>
    </cfRule>
    <cfRule type="containsText" dxfId="60" priority="61" operator="containsText" text="M (2015/NURSERY)">
      <formula>NOT(ISERROR(SEARCH("M (2015/NURSERY)",A22)))</formula>
    </cfRule>
    <cfRule type="containsText" dxfId="59" priority="62" operator="containsText" text="M (2016/PLOT3)">
      <formula>NOT(ISERROR(SEARCH("M (2016/PLOT3)",A22)))</formula>
    </cfRule>
    <cfRule type="containsText" dxfId="58" priority="63" operator="containsText" text="M (2017)">
      <formula>NOT(ISERROR(SEARCH("M (2017)",A22)))</formula>
    </cfRule>
    <cfRule type="containsText" dxfId="57" priority="64" operator="containsText" text="P1 (2017)">
      <formula>NOT(ISERROR(SEARCH("P1 (2017)",A22)))</formula>
    </cfRule>
  </conditionalFormatting>
  <conditionalFormatting sqref="A22:B22">
    <cfRule type="expression" dxfId="56" priority="57">
      <formula>"P7 (2016)"</formula>
    </cfRule>
  </conditionalFormatting>
  <conditionalFormatting sqref="A21:B21">
    <cfRule type="containsText" dxfId="55" priority="50" operator="containsText" text="P7 (2016)">
      <formula>NOT(ISERROR(SEARCH("P7 (2016)",A21)))</formula>
    </cfRule>
    <cfRule type="containsText" dxfId="54" priority="51" operator="containsText" text="NP">
      <formula>NOT(ISERROR(SEARCH("NP",A21)))</formula>
    </cfRule>
    <cfRule type="containsText" dxfId="53" priority="52" operator="containsText" text="P7 (2015/ON HILL)">
      <formula>NOT(ISERROR(SEARCH("P7 (2015/ON HILL)",A21)))</formula>
    </cfRule>
    <cfRule type="containsText" dxfId="52" priority="53" operator="containsText" text="M (2015/NURSERY)">
      <formula>NOT(ISERROR(SEARCH("M (2015/NURSERY)",A21)))</formula>
    </cfRule>
    <cfRule type="containsText" dxfId="51" priority="54" operator="containsText" text="M (2016/PLOT3)">
      <formula>NOT(ISERROR(SEARCH("M (2016/PLOT3)",A21)))</formula>
    </cfRule>
    <cfRule type="containsText" dxfId="50" priority="55" operator="containsText" text="M (2017)">
      <formula>NOT(ISERROR(SEARCH("M (2017)",A21)))</formula>
    </cfRule>
    <cfRule type="containsText" dxfId="49" priority="56" operator="containsText" text="P1 (2017)">
      <formula>NOT(ISERROR(SEARCH("P1 (2017)",A21)))</formula>
    </cfRule>
  </conditionalFormatting>
  <conditionalFormatting sqref="A21:B21">
    <cfRule type="expression" dxfId="48" priority="49">
      <formula>"P7 (2016)"</formula>
    </cfRule>
  </conditionalFormatting>
  <conditionalFormatting sqref="A20">
    <cfRule type="containsText" dxfId="47" priority="42" operator="containsText" text="P7 (2016)">
      <formula>NOT(ISERROR(SEARCH("P7 (2016)",A20)))</formula>
    </cfRule>
    <cfRule type="containsText" dxfId="46" priority="43" operator="containsText" text="NP">
      <formula>NOT(ISERROR(SEARCH("NP",A20)))</formula>
    </cfRule>
    <cfRule type="containsText" dxfId="45" priority="44" operator="containsText" text="P7 (2015/ON HILL)">
      <formula>NOT(ISERROR(SEARCH("P7 (2015/ON HILL)",A20)))</formula>
    </cfRule>
    <cfRule type="containsText" dxfId="44" priority="45" operator="containsText" text="M (2015/NURSERY)">
      <formula>NOT(ISERROR(SEARCH("M (2015/NURSERY)",A20)))</formula>
    </cfRule>
    <cfRule type="containsText" dxfId="43" priority="46" operator="containsText" text="M (2016/PLOT3)">
      <formula>NOT(ISERROR(SEARCH("M (2016/PLOT3)",A20)))</formula>
    </cfRule>
    <cfRule type="containsText" dxfId="42" priority="47" operator="containsText" text="M (2017)">
      <formula>NOT(ISERROR(SEARCH("M (2017)",A20)))</formula>
    </cfRule>
    <cfRule type="containsText" dxfId="41" priority="48" operator="containsText" text="P1 (2017)">
      <formula>NOT(ISERROR(SEARCH("P1 (2017)",A20)))</formula>
    </cfRule>
  </conditionalFormatting>
  <conditionalFormatting sqref="A20">
    <cfRule type="expression" dxfId="40" priority="41">
      <formula>"P7 (2016)"</formula>
    </cfRule>
  </conditionalFormatting>
  <conditionalFormatting sqref="A19:B19">
    <cfRule type="containsText" dxfId="39" priority="34" operator="containsText" text="P7 (2016)">
      <formula>NOT(ISERROR(SEARCH("P7 (2016)",A19)))</formula>
    </cfRule>
    <cfRule type="containsText" dxfId="38" priority="35" operator="containsText" text="NP">
      <formula>NOT(ISERROR(SEARCH("NP",A19)))</formula>
    </cfRule>
    <cfRule type="containsText" dxfId="37" priority="36" operator="containsText" text="P7 (2015/ON HILL)">
      <formula>NOT(ISERROR(SEARCH("P7 (2015/ON HILL)",A19)))</formula>
    </cfRule>
    <cfRule type="containsText" dxfId="36" priority="37" operator="containsText" text="M (2015/NURSERY)">
      <formula>NOT(ISERROR(SEARCH("M (2015/NURSERY)",A19)))</formula>
    </cfRule>
    <cfRule type="containsText" dxfId="35" priority="38" operator="containsText" text="M (2016/PLOT3)">
      <formula>NOT(ISERROR(SEARCH("M (2016/PLOT3)",A19)))</formula>
    </cfRule>
    <cfRule type="containsText" dxfId="34" priority="39" operator="containsText" text="M (2017)">
      <formula>NOT(ISERROR(SEARCH("M (2017)",A19)))</formula>
    </cfRule>
    <cfRule type="containsText" dxfId="33" priority="40" operator="containsText" text="P1 (2017)">
      <formula>NOT(ISERROR(SEARCH("P1 (2017)",A19)))</formula>
    </cfRule>
  </conditionalFormatting>
  <conditionalFormatting sqref="A19:B19">
    <cfRule type="expression" dxfId="32" priority="33">
      <formula>"P7 (2016)"</formula>
    </cfRule>
  </conditionalFormatting>
  <conditionalFormatting sqref="A15:B15">
    <cfRule type="containsText" dxfId="31" priority="26" operator="containsText" text="P7 (2016)">
      <formula>NOT(ISERROR(SEARCH("P7 (2016)",A15)))</formula>
    </cfRule>
    <cfRule type="containsText" dxfId="30" priority="27" operator="containsText" text="NP">
      <formula>NOT(ISERROR(SEARCH("NP",A15)))</formula>
    </cfRule>
    <cfRule type="containsText" dxfId="29" priority="28" operator="containsText" text="P7 (2015/ON HILL)">
      <formula>NOT(ISERROR(SEARCH("P7 (2015/ON HILL)",A15)))</formula>
    </cfRule>
    <cfRule type="containsText" dxfId="28" priority="29" operator="containsText" text="M (2015/NURSERY)">
      <formula>NOT(ISERROR(SEARCH("M (2015/NURSERY)",A15)))</formula>
    </cfRule>
    <cfRule type="containsText" dxfId="27" priority="30" operator="containsText" text="M (2016/PLOT3)">
      <formula>NOT(ISERROR(SEARCH("M (2016/PLOT3)",A15)))</formula>
    </cfRule>
    <cfRule type="containsText" dxfId="26" priority="31" operator="containsText" text="M (2017)">
      <formula>NOT(ISERROR(SEARCH("M (2017)",A15)))</formula>
    </cfRule>
    <cfRule type="containsText" dxfId="25" priority="32" operator="containsText" text="P1 (2017)">
      <formula>NOT(ISERROR(SEARCH("P1 (2017)",A15)))</formula>
    </cfRule>
  </conditionalFormatting>
  <conditionalFormatting sqref="A15:B15">
    <cfRule type="expression" dxfId="24" priority="25">
      <formula>"P7 (2016)"</formula>
    </cfRule>
  </conditionalFormatting>
  <conditionalFormatting sqref="A13:B13">
    <cfRule type="expression" dxfId="23" priority="24">
      <formula>"P7 (2016)"</formula>
    </cfRule>
  </conditionalFormatting>
  <conditionalFormatting sqref="A13:B13">
    <cfRule type="containsText" dxfId="22" priority="17" operator="containsText" text="P7 (2016)">
      <formula>NOT(ISERROR(SEARCH("P7 (2016)",A13)))</formula>
    </cfRule>
    <cfRule type="containsText" dxfId="21" priority="18" operator="containsText" text="NP">
      <formula>NOT(ISERROR(SEARCH("NP",A13)))</formula>
    </cfRule>
    <cfRule type="containsText" dxfId="20" priority="19" operator="containsText" text="P7 (2015/ON HILL)">
      <formula>NOT(ISERROR(SEARCH("P7 (2015/ON HILL)",A13)))</formula>
    </cfRule>
    <cfRule type="containsText" dxfId="19" priority="20" operator="containsText" text="M (2015/NURSERY)">
      <formula>NOT(ISERROR(SEARCH("M (2015/NURSERY)",A13)))</formula>
    </cfRule>
    <cfRule type="containsText" dxfId="18" priority="21" operator="containsText" text="M (2016/PLOT3)">
      <formula>NOT(ISERROR(SEARCH("M (2016/PLOT3)",A13)))</formula>
    </cfRule>
    <cfRule type="containsText" dxfId="17" priority="22" operator="containsText" text="M (2017)">
      <formula>NOT(ISERROR(SEARCH("M (2017)",A13)))</formula>
    </cfRule>
    <cfRule type="containsText" dxfId="16" priority="23" operator="containsText" text="P1 (2017)">
      <formula>NOT(ISERROR(SEARCH("P1 (2017)",A13)))</formula>
    </cfRule>
  </conditionalFormatting>
  <conditionalFormatting sqref="A14:B14">
    <cfRule type="expression" dxfId="15" priority="16">
      <formula>"P7 (2016)"</formula>
    </cfRule>
  </conditionalFormatting>
  <conditionalFormatting sqref="A14:B14">
    <cfRule type="containsText" dxfId="14" priority="9" operator="containsText" text="P7 (2016)">
      <formula>NOT(ISERROR(SEARCH("P7 (2016)",A14)))</formula>
    </cfRule>
    <cfRule type="containsText" dxfId="13" priority="10" operator="containsText" text="NP">
      <formula>NOT(ISERROR(SEARCH("NP",A14)))</formula>
    </cfRule>
    <cfRule type="containsText" dxfId="12" priority="11" operator="containsText" text="P7 (2015/ON HILL)">
      <formula>NOT(ISERROR(SEARCH("P7 (2015/ON HILL)",A14)))</formula>
    </cfRule>
    <cfRule type="containsText" dxfId="11" priority="12" operator="containsText" text="M (2015/NURSERY)">
      <formula>NOT(ISERROR(SEARCH("M (2015/NURSERY)",A14)))</formula>
    </cfRule>
    <cfRule type="containsText" dxfId="10" priority="13" operator="containsText" text="M (2016/PLOT3)">
      <formula>NOT(ISERROR(SEARCH("M (2016/PLOT3)",A14)))</formula>
    </cfRule>
    <cfRule type="containsText" dxfId="9" priority="14" operator="containsText" text="M (2017)">
      <formula>NOT(ISERROR(SEARCH("M (2017)",A14)))</formula>
    </cfRule>
    <cfRule type="containsText" dxfId="8" priority="15" operator="containsText" text="P1 (2017)">
      <formula>NOT(ISERROR(SEARCH("P1 (2017)",A14)))</formula>
    </cfRule>
  </conditionalFormatting>
  <conditionalFormatting sqref="B20">
    <cfRule type="containsText" dxfId="7" priority="2" operator="containsText" text="P7 (2016)">
      <formula>NOT(ISERROR(SEARCH("P7 (2016)",B20)))</formula>
    </cfRule>
    <cfRule type="containsText" dxfId="6" priority="3" operator="containsText" text="NP">
      <formula>NOT(ISERROR(SEARCH("NP",B20)))</formula>
    </cfRule>
    <cfRule type="containsText" dxfId="5" priority="4" operator="containsText" text="P7 (2015/ON HILL)">
      <formula>NOT(ISERROR(SEARCH("P7 (2015/ON HILL)",B20)))</formula>
    </cfRule>
    <cfRule type="containsText" dxfId="4" priority="5" operator="containsText" text="M (2015/NURSERY)">
      <formula>NOT(ISERROR(SEARCH("M (2015/NURSERY)",B20)))</formula>
    </cfRule>
    <cfRule type="containsText" dxfId="3" priority="6" operator="containsText" text="M (2016/PLOT3)">
      <formula>NOT(ISERROR(SEARCH("M (2016/PLOT3)",B20)))</formula>
    </cfRule>
    <cfRule type="containsText" dxfId="2" priority="7" operator="containsText" text="M (2017)">
      <formula>NOT(ISERROR(SEARCH("M (2017)",B20)))</formula>
    </cfRule>
    <cfRule type="containsText" dxfId="1" priority="8" operator="containsText" text="P1 (2017)">
      <formula>NOT(ISERROR(SEARCH("P1 (2017)",B20)))</formula>
    </cfRule>
  </conditionalFormatting>
  <conditionalFormatting sqref="B20">
    <cfRule type="expression" dxfId="0" priority="1">
      <formula>"P7 (2016)"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2"/>
  <sheetViews>
    <sheetView workbookViewId="0">
      <selection activeCell="A12" sqref="A12"/>
    </sheetView>
  </sheetViews>
  <sheetFormatPr defaultRowHeight="15" x14ac:dyDescent="0.25"/>
  <sheetData>
    <row r="1" spans="1:22" x14ac:dyDescent="0.25">
      <c r="A1" s="85" t="s">
        <v>3106</v>
      </c>
      <c r="B1" s="85" t="s">
        <v>3107</v>
      </c>
      <c r="C1" s="85" t="s">
        <v>3108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8"/>
    </row>
    <row r="2" spans="1:22" x14ac:dyDescent="0.25">
      <c r="A2" s="86"/>
      <c r="B2" s="86"/>
      <c r="C2" s="86"/>
      <c r="D2" s="66" t="s">
        <v>3109</v>
      </c>
      <c r="E2" s="67" t="s">
        <v>3110</v>
      </c>
      <c r="F2" s="66" t="s">
        <v>3111</v>
      </c>
      <c r="G2" s="66" t="s">
        <v>3112</v>
      </c>
      <c r="H2" s="66" t="s">
        <v>3113</v>
      </c>
      <c r="I2" s="66" t="s">
        <v>3114</v>
      </c>
      <c r="J2" s="66" t="s">
        <v>3115</v>
      </c>
      <c r="K2" s="66" t="s">
        <v>3116</v>
      </c>
      <c r="L2" s="66" t="s">
        <v>3117</v>
      </c>
      <c r="M2" s="66" t="s">
        <v>3118</v>
      </c>
      <c r="N2" s="66" t="s">
        <v>3119</v>
      </c>
      <c r="O2" s="66" t="s">
        <v>3120</v>
      </c>
      <c r="P2" s="66" t="s">
        <v>3121</v>
      </c>
      <c r="Q2" s="66" t="s">
        <v>3122</v>
      </c>
      <c r="R2" s="66" t="s">
        <v>3123</v>
      </c>
      <c r="S2" s="66" t="s">
        <v>3124</v>
      </c>
      <c r="T2" s="66" t="s">
        <v>3125</v>
      </c>
      <c r="U2" s="66" t="s">
        <v>3126</v>
      </c>
      <c r="V2" s="66" t="s">
        <v>3127</v>
      </c>
    </row>
    <row r="3" spans="1:22" x14ac:dyDescent="0.25">
      <c r="A3" s="68" t="s">
        <v>3128</v>
      </c>
      <c r="B3" s="83" t="s">
        <v>3129</v>
      </c>
      <c r="C3" s="68" t="s">
        <v>3130</v>
      </c>
      <c r="D3" s="69">
        <v>7</v>
      </c>
      <c r="E3" s="69">
        <v>53</v>
      </c>
      <c r="F3" s="68">
        <f>244*3</f>
        <v>732</v>
      </c>
      <c r="G3" s="68">
        <v>56</v>
      </c>
      <c r="H3" s="68">
        <v>26</v>
      </c>
      <c r="I3" s="68">
        <v>7</v>
      </c>
      <c r="J3" s="68">
        <v>2</v>
      </c>
      <c r="K3" s="68">
        <f t="shared" ref="K3:K62" si="0">I3*J3</f>
        <v>14</v>
      </c>
      <c r="L3" s="68">
        <v>16.5</v>
      </c>
      <c r="M3" s="68">
        <v>1</v>
      </c>
      <c r="N3" s="70">
        <f>L3/M3</f>
        <v>16.5</v>
      </c>
      <c r="O3" s="68">
        <v>4.5</v>
      </c>
      <c r="P3" s="68">
        <v>37</v>
      </c>
      <c r="Q3" s="70">
        <f>119.14-3.74</f>
        <v>115.4</v>
      </c>
      <c r="R3" s="68">
        <f>80.65-3.74</f>
        <v>76.910000000000011</v>
      </c>
      <c r="S3" s="68">
        <f>85.73-3.74</f>
        <v>81.990000000000009</v>
      </c>
      <c r="T3" s="68">
        <v>68.319999999999993</v>
      </c>
      <c r="U3" s="68">
        <v>55.32</v>
      </c>
      <c r="V3" s="68">
        <v>127</v>
      </c>
    </row>
    <row r="4" spans="1:22" x14ac:dyDescent="0.25">
      <c r="A4" s="68" t="s">
        <v>3128</v>
      </c>
      <c r="B4" s="83"/>
      <c r="C4" s="68" t="s">
        <v>3131</v>
      </c>
      <c r="D4" s="69">
        <v>11</v>
      </c>
      <c r="E4" s="69">
        <v>53</v>
      </c>
      <c r="F4" s="68">
        <f>271*3</f>
        <v>813</v>
      </c>
      <c r="G4" s="68">
        <v>49</v>
      </c>
      <c r="H4" s="68">
        <v>30</v>
      </c>
      <c r="I4" s="68">
        <v>6.5</v>
      </c>
      <c r="J4" s="68">
        <v>2.5</v>
      </c>
      <c r="K4" s="68">
        <f t="shared" si="0"/>
        <v>16.25</v>
      </c>
      <c r="L4" s="68">
        <v>16</v>
      </c>
      <c r="M4" s="68">
        <v>1.5</v>
      </c>
      <c r="N4" s="70">
        <f t="shared" ref="N4:N62" si="1">L4/M4</f>
        <v>10.666666666666666</v>
      </c>
      <c r="O4" s="68">
        <v>3.5</v>
      </c>
      <c r="P4" s="68">
        <v>29</v>
      </c>
      <c r="Q4" s="68">
        <f>98.43-3.74</f>
        <v>94.690000000000012</v>
      </c>
      <c r="R4" s="68">
        <f>71.35-3.74</f>
        <v>67.61</v>
      </c>
      <c r="S4" s="68">
        <f>46.5-3.74</f>
        <v>42.76</v>
      </c>
      <c r="T4" s="71">
        <v>22.2</v>
      </c>
      <c r="U4" s="71">
        <v>14.969999999999999</v>
      </c>
      <c r="V4" s="71">
        <v>37</v>
      </c>
    </row>
    <row r="5" spans="1:22" x14ac:dyDescent="0.25">
      <c r="A5" s="68" t="s">
        <v>3128</v>
      </c>
      <c r="B5" s="83"/>
      <c r="C5" s="68" t="s">
        <v>3132</v>
      </c>
      <c r="D5" s="69">
        <v>9</v>
      </c>
      <c r="E5" s="69">
        <v>53</v>
      </c>
      <c r="F5" s="68">
        <f>256*3</f>
        <v>768</v>
      </c>
      <c r="G5" s="68">
        <v>45</v>
      </c>
      <c r="H5" s="68">
        <v>26</v>
      </c>
      <c r="I5" s="68">
        <v>6.5</v>
      </c>
      <c r="J5" s="68">
        <v>2</v>
      </c>
      <c r="K5" s="68">
        <f t="shared" si="0"/>
        <v>13</v>
      </c>
      <c r="L5" s="68">
        <v>13</v>
      </c>
      <c r="M5" s="68">
        <v>1.5</v>
      </c>
      <c r="N5" s="70">
        <f t="shared" si="1"/>
        <v>8.6666666666666661</v>
      </c>
      <c r="O5" s="68">
        <v>3</v>
      </c>
      <c r="P5" s="68">
        <v>37</v>
      </c>
      <c r="Q5" s="68">
        <f>119.42-3.74</f>
        <v>115.68</v>
      </c>
      <c r="R5" s="68">
        <f>66.48-3.74</f>
        <v>62.74</v>
      </c>
      <c r="S5" s="68">
        <v>5.94</v>
      </c>
      <c r="T5" s="71">
        <v>2.9400000000000004</v>
      </c>
      <c r="U5" s="71">
        <v>2.38</v>
      </c>
      <c r="V5" s="71">
        <v>5</v>
      </c>
    </row>
    <row r="6" spans="1:22" x14ac:dyDescent="0.25">
      <c r="A6" s="68" t="s">
        <v>3128</v>
      </c>
      <c r="B6" s="83" t="s">
        <v>3133</v>
      </c>
      <c r="C6" s="68" t="s">
        <v>3134</v>
      </c>
      <c r="D6" s="69">
        <v>7</v>
      </c>
      <c r="E6" s="69">
        <v>35</v>
      </c>
      <c r="F6" s="68">
        <f>153*3</f>
        <v>459</v>
      </c>
      <c r="G6" s="68">
        <v>78</v>
      </c>
      <c r="H6" s="68">
        <v>35</v>
      </c>
      <c r="I6" s="68">
        <v>8.5</v>
      </c>
      <c r="J6" s="68">
        <v>3.5</v>
      </c>
      <c r="K6" s="68">
        <f t="shared" si="0"/>
        <v>29.75</v>
      </c>
      <c r="L6" s="68">
        <v>28</v>
      </c>
      <c r="M6" s="68">
        <v>2</v>
      </c>
      <c r="N6" s="70">
        <f t="shared" si="1"/>
        <v>14</v>
      </c>
      <c r="O6" s="68">
        <v>2</v>
      </c>
      <c r="P6" s="68">
        <v>20</v>
      </c>
      <c r="Q6" s="68">
        <f>197.05-3.74</f>
        <v>193.31</v>
      </c>
      <c r="R6" s="68">
        <f>126.15-3.74</f>
        <v>122.41000000000001</v>
      </c>
      <c r="S6" s="68">
        <f>12.89-3.74</f>
        <v>9.15</v>
      </c>
      <c r="T6" s="71">
        <v>8.23</v>
      </c>
      <c r="U6" s="71">
        <v>0.79999999999999982</v>
      </c>
      <c r="V6" s="71">
        <v>3</v>
      </c>
    </row>
    <row r="7" spans="1:22" x14ac:dyDescent="0.25">
      <c r="A7" s="68" t="s">
        <v>3128</v>
      </c>
      <c r="B7" s="83"/>
      <c r="C7" s="68" t="s">
        <v>3135</v>
      </c>
      <c r="D7" s="69">
        <v>9</v>
      </c>
      <c r="E7" s="69">
        <v>35</v>
      </c>
      <c r="F7" s="68">
        <f>199*3</f>
        <v>597</v>
      </c>
      <c r="G7" s="68">
        <v>78</v>
      </c>
      <c r="H7" s="68">
        <v>33</v>
      </c>
      <c r="I7" s="68">
        <v>8.5</v>
      </c>
      <c r="J7" s="68">
        <v>4.5</v>
      </c>
      <c r="K7" s="68">
        <f t="shared" si="0"/>
        <v>38.25</v>
      </c>
      <c r="L7" s="68">
        <v>23</v>
      </c>
      <c r="M7" s="68">
        <v>2</v>
      </c>
      <c r="N7" s="70">
        <f t="shared" si="1"/>
        <v>11.5</v>
      </c>
      <c r="O7" s="68">
        <v>2.5</v>
      </c>
      <c r="P7" s="68">
        <v>29</v>
      </c>
      <c r="Q7" s="68">
        <f>197.87-3.74</f>
        <v>194.13</v>
      </c>
      <c r="R7" s="68">
        <f>122.48-3.74</f>
        <v>118.74000000000001</v>
      </c>
      <c r="S7" s="68">
        <f>108.06-3.74</f>
        <v>104.32000000000001</v>
      </c>
      <c r="T7" s="71">
        <v>45.52</v>
      </c>
      <c r="U7" s="71">
        <v>29.53</v>
      </c>
      <c r="V7" s="71">
        <v>61</v>
      </c>
    </row>
    <row r="8" spans="1:22" x14ac:dyDescent="0.25">
      <c r="A8" s="68" t="s">
        <v>3128</v>
      </c>
      <c r="B8" s="83"/>
      <c r="C8" s="68" t="s">
        <v>3136</v>
      </c>
      <c r="D8" s="69">
        <v>9</v>
      </c>
      <c r="E8" s="69">
        <v>35</v>
      </c>
      <c r="F8" s="68">
        <f>160*3</f>
        <v>480</v>
      </c>
      <c r="G8" s="68">
        <v>61</v>
      </c>
      <c r="H8" s="68">
        <v>28</v>
      </c>
      <c r="I8" s="68">
        <v>8.5</v>
      </c>
      <c r="J8" s="68">
        <v>3.5</v>
      </c>
      <c r="K8" s="68">
        <f t="shared" si="0"/>
        <v>29.75</v>
      </c>
      <c r="L8" s="68">
        <v>21</v>
      </c>
      <c r="M8" s="68">
        <v>1.5</v>
      </c>
      <c r="N8" s="70">
        <f t="shared" si="1"/>
        <v>14</v>
      </c>
      <c r="O8" s="68">
        <v>2</v>
      </c>
      <c r="P8" s="68">
        <v>18</v>
      </c>
      <c r="Q8" s="68">
        <f>136.6-3.74</f>
        <v>132.85999999999999</v>
      </c>
      <c r="R8" s="70">
        <f>74.44-3.74</f>
        <v>70.7</v>
      </c>
      <c r="S8" s="68">
        <f>11.39-3.74</f>
        <v>7.65</v>
      </c>
      <c r="T8" s="71">
        <v>1.4900000000000002</v>
      </c>
      <c r="U8" s="71">
        <v>1.3200000000000003</v>
      </c>
      <c r="V8" s="71">
        <v>1</v>
      </c>
    </row>
    <row r="9" spans="1:22" x14ac:dyDescent="0.25">
      <c r="A9" s="68" t="s">
        <v>3128</v>
      </c>
      <c r="B9" s="83" t="s">
        <v>3137</v>
      </c>
      <c r="C9" s="68" t="s">
        <v>3138</v>
      </c>
      <c r="D9" s="69">
        <v>7</v>
      </c>
      <c r="E9" s="69">
        <v>35</v>
      </c>
      <c r="F9" s="68">
        <f>129*3</f>
        <v>387</v>
      </c>
      <c r="G9" s="68">
        <v>54</v>
      </c>
      <c r="H9" s="68">
        <v>38</v>
      </c>
      <c r="I9" s="68">
        <v>7.5</v>
      </c>
      <c r="J9" s="68">
        <v>4</v>
      </c>
      <c r="K9" s="68">
        <f t="shared" si="0"/>
        <v>30</v>
      </c>
      <c r="L9" s="68">
        <v>21</v>
      </c>
      <c r="M9" s="68">
        <v>1.5</v>
      </c>
      <c r="N9" s="70">
        <f t="shared" si="1"/>
        <v>14</v>
      </c>
      <c r="O9" s="68">
        <v>3.5</v>
      </c>
      <c r="P9" s="68">
        <v>25</v>
      </c>
      <c r="Q9" s="68">
        <f>125.83-3.74</f>
        <v>122.09</v>
      </c>
      <c r="R9" s="68">
        <f>82.26-3.74</f>
        <v>78.52000000000001</v>
      </c>
      <c r="S9" s="68">
        <v>4.8</v>
      </c>
      <c r="T9" s="71">
        <v>1.7999999999999998</v>
      </c>
      <c r="U9" s="71">
        <v>1.5599999999999996</v>
      </c>
      <c r="V9" s="71">
        <v>1</v>
      </c>
    </row>
    <row r="10" spans="1:22" x14ac:dyDescent="0.25">
      <c r="A10" s="68" t="s">
        <v>3128</v>
      </c>
      <c r="B10" s="83"/>
      <c r="C10" s="68" t="s">
        <v>3139</v>
      </c>
      <c r="D10" s="69">
        <v>7</v>
      </c>
      <c r="E10" s="69">
        <v>35</v>
      </c>
      <c r="F10" s="68">
        <f>136*3</f>
        <v>408</v>
      </c>
      <c r="G10" s="68">
        <v>67</v>
      </c>
      <c r="H10" s="68">
        <v>33</v>
      </c>
      <c r="I10" s="68">
        <v>7.5</v>
      </c>
      <c r="J10" s="68">
        <v>4</v>
      </c>
      <c r="K10" s="68">
        <f t="shared" si="0"/>
        <v>30</v>
      </c>
      <c r="L10" s="68">
        <v>22</v>
      </c>
      <c r="M10" s="68">
        <v>2</v>
      </c>
      <c r="N10" s="70">
        <f t="shared" si="1"/>
        <v>11</v>
      </c>
      <c r="O10" s="68">
        <v>2</v>
      </c>
      <c r="P10" s="68">
        <v>26</v>
      </c>
      <c r="Q10" s="70">
        <f>146.04-3.74</f>
        <v>142.29999999999998</v>
      </c>
      <c r="R10" s="68">
        <f>113.8-3.74</f>
        <v>110.06</v>
      </c>
      <c r="S10" s="68">
        <v>10.210000000000001</v>
      </c>
      <c r="T10" s="71">
        <v>4.67</v>
      </c>
      <c r="U10" s="71">
        <v>2.6400000000000006</v>
      </c>
      <c r="V10" s="71">
        <v>4</v>
      </c>
    </row>
    <row r="11" spans="1:22" x14ac:dyDescent="0.25">
      <c r="A11" s="68" t="s">
        <v>3128</v>
      </c>
      <c r="B11" s="83"/>
      <c r="C11" s="68" t="s">
        <v>3140</v>
      </c>
      <c r="D11" s="69">
        <v>7</v>
      </c>
      <c r="E11" s="69">
        <v>35</v>
      </c>
      <c r="F11" s="68">
        <f>152*3</f>
        <v>456</v>
      </c>
      <c r="G11" s="68">
        <v>54</v>
      </c>
      <c r="H11" s="68">
        <v>30</v>
      </c>
      <c r="I11" s="68">
        <v>7</v>
      </c>
      <c r="J11" s="68">
        <v>3</v>
      </c>
      <c r="K11" s="68">
        <f t="shared" si="0"/>
        <v>21</v>
      </c>
      <c r="L11" s="68">
        <v>18.5</v>
      </c>
      <c r="M11" s="68">
        <v>1.5</v>
      </c>
      <c r="N11" s="70">
        <f t="shared" si="1"/>
        <v>12.333333333333334</v>
      </c>
      <c r="O11" s="68" t="s">
        <v>3141</v>
      </c>
      <c r="P11" s="68">
        <v>18</v>
      </c>
      <c r="Q11" s="68">
        <f>107.56-3.74</f>
        <v>103.82000000000001</v>
      </c>
      <c r="R11" s="68">
        <f>57.09-3.74</f>
        <v>53.35</v>
      </c>
      <c r="S11" s="72"/>
      <c r="T11" s="72"/>
      <c r="U11" s="72"/>
      <c r="V11" s="72"/>
    </row>
    <row r="12" spans="1:22" x14ac:dyDescent="0.25">
      <c r="A12" s="68" t="s">
        <v>3128</v>
      </c>
      <c r="B12" s="83" t="s">
        <v>519</v>
      </c>
      <c r="C12" s="68" t="s">
        <v>3142</v>
      </c>
      <c r="D12" s="69">
        <v>7</v>
      </c>
      <c r="E12" s="69">
        <v>53</v>
      </c>
      <c r="F12" s="68">
        <f>225*3</f>
        <v>675</v>
      </c>
      <c r="G12" s="68">
        <v>72</v>
      </c>
      <c r="H12" s="68">
        <v>25</v>
      </c>
      <c r="I12" s="68">
        <v>8</v>
      </c>
      <c r="J12" s="68">
        <v>4</v>
      </c>
      <c r="K12" s="68">
        <f t="shared" si="0"/>
        <v>32</v>
      </c>
      <c r="L12" s="68">
        <v>21.5</v>
      </c>
      <c r="M12" s="68">
        <v>1.5</v>
      </c>
      <c r="N12" s="70">
        <f t="shared" si="1"/>
        <v>14.333333333333334</v>
      </c>
      <c r="O12" s="68">
        <v>2.5</v>
      </c>
      <c r="P12" s="68">
        <v>19</v>
      </c>
      <c r="Q12" s="70">
        <f>249.44-3.74</f>
        <v>245.7</v>
      </c>
      <c r="R12" s="68">
        <f>118.52-3.74</f>
        <v>114.78</v>
      </c>
      <c r="S12" s="68">
        <v>10.23</v>
      </c>
      <c r="T12" s="71">
        <v>3.8899999999999997</v>
      </c>
      <c r="U12" s="71">
        <v>2.7699999999999996</v>
      </c>
      <c r="V12" s="71">
        <v>8</v>
      </c>
    </row>
    <row r="13" spans="1:22" x14ac:dyDescent="0.25">
      <c r="A13" s="68" t="s">
        <v>3128</v>
      </c>
      <c r="B13" s="83"/>
      <c r="C13" s="68" t="s">
        <v>3143</v>
      </c>
      <c r="D13" s="69">
        <v>9</v>
      </c>
      <c r="E13" s="69">
        <v>53</v>
      </c>
      <c r="F13" s="68">
        <f>170*3</f>
        <v>510</v>
      </c>
      <c r="G13" s="68">
        <v>66</v>
      </c>
      <c r="H13" s="68">
        <v>36</v>
      </c>
      <c r="I13" s="68">
        <v>7</v>
      </c>
      <c r="J13" s="68">
        <v>3.5</v>
      </c>
      <c r="K13" s="68">
        <f t="shared" si="0"/>
        <v>24.5</v>
      </c>
      <c r="L13" s="68">
        <v>19.5</v>
      </c>
      <c r="M13" s="68">
        <v>1.5</v>
      </c>
      <c r="N13" s="70">
        <f t="shared" si="1"/>
        <v>13</v>
      </c>
      <c r="O13" s="68">
        <v>2.5</v>
      </c>
      <c r="P13" s="68">
        <v>25</v>
      </c>
      <c r="Q13" s="68">
        <f>149.36-3.74</f>
        <v>145.62</v>
      </c>
      <c r="R13" s="70">
        <f>72.74-3.74</f>
        <v>69</v>
      </c>
      <c r="S13" s="68">
        <f>38.88-3.74</f>
        <v>35.14</v>
      </c>
      <c r="T13" s="71">
        <v>16.899999999999999</v>
      </c>
      <c r="U13" s="71">
        <v>13.170000000000002</v>
      </c>
      <c r="V13" s="71">
        <v>30</v>
      </c>
    </row>
    <row r="14" spans="1:22" x14ac:dyDescent="0.25">
      <c r="A14" s="68" t="s">
        <v>3128</v>
      </c>
      <c r="B14" s="83"/>
      <c r="C14" s="68" t="s">
        <v>3144</v>
      </c>
      <c r="D14" s="69">
        <v>7</v>
      </c>
      <c r="E14" s="69">
        <v>53</v>
      </c>
      <c r="F14" s="68">
        <f>106*3</f>
        <v>318</v>
      </c>
      <c r="G14" s="68">
        <v>59</v>
      </c>
      <c r="H14" s="68">
        <v>34</v>
      </c>
      <c r="I14" s="68">
        <v>7</v>
      </c>
      <c r="J14" s="68">
        <v>3</v>
      </c>
      <c r="K14" s="68">
        <f t="shared" si="0"/>
        <v>21</v>
      </c>
      <c r="L14" s="68">
        <v>22.5</v>
      </c>
      <c r="M14" s="68">
        <v>1.5</v>
      </c>
      <c r="N14" s="70">
        <f t="shared" si="1"/>
        <v>15</v>
      </c>
      <c r="O14" s="68">
        <v>2.5</v>
      </c>
      <c r="P14" s="68">
        <v>24</v>
      </c>
      <c r="Q14" s="68">
        <f>88.2-7.78</f>
        <v>80.42</v>
      </c>
      <c r="R14" s="68">
        <f>51.46-7.78</f>
        <v>43.68</v>
      </c>
      <c r="S14" s="70">
        <f>61.38-7.78</f>
        <v>53.6</v>
      </c>
      <c r="T14" s="71">
        <v>32.03</v>
      </c>
      <c r="U14" s="71">
        <v>26.16</v>
      </c>
      <c r="V14" s="71">
        <v>44</v>
      </c>
    </row>
    <row r="15" spans="1:22" x14ac:dyDescent="0.25">
      <c r="A15" s="68" t="s">
        <v>3128</v>
      </c>
      <c r="B15" s="83" t="s">
        <v>3145</v>
      </c>
      <c r="C15" s="68" t="s">
        <v>3146</v>
      </c>
      <c r="D15" s="69">
        <v>7</v>
      </c>
      <c r="E15" s="69">
        <v>39</v>
      </c>
      <c r="F15" s="68">
        <f>112*3</f>
        <v>336</v>
      </c>
      <c r="G15" s="68">
        <v>44</v>
      </c>
      <c r="H15" s="68">
        <v>27</v>
      </c>
      <c r="I15" s="68">
        <v>6</v>
      </c>
      <c r="J15" s="68">
        <v>3</v>
      </c>
      <c r="K15" s="68">
        <f t="shared" si="0"/>
        <v>18</v>
      </c>
      <c r="L15" s="68">
        <v>23</v>
      </c>
      <c r="M15" s="68">
        <v>1.5</v>
      </c>
      <c r="N15" s="70">
        <f t="shared" si="1"/>
        <v>15.333333333333334</v>
      </c>
      <c r="O15" s="68">
        <v>4</v>
      </c>
      <c r="P15" s="68">
        <v>22</v>
      </c>
      <c r="Q15" s="70">
        <f>64.44-3.74</f>
        <v>60.699999999999996</v>
      </c>
      <c r="R15" s="70">
        <f>35.54-3.74</f>
        <v>31.799999999999997</v>
      </c>
      <c r="S15" s="68">
        <f>18.53-3.74</f>
        <v>14.790000000000001</v>
      </c>
      <c r="T15" s="71">
        <v>6.4499999999999993</v>
      </c>
      <c r="U15" s="71">
        <v>4.62</v>
      </c>
      <c r="V15" s="71">
        <v>8</v>
      </c>
    </row>
    <row r="16" spans="1:22" x14ac:dyDescent="0.25">
      <c r="A16" s="68" t="s">
        <v>3128</v>
      </c>
      <c r="B16" s="83"/>
      <c r="C16" s="68" t="s">
        <v>3147</v>
      </c>
      <c r="D16" s="69">
        <v>11</v>
      </c>
      <c r="E16" s="69">
        <v>39</v>
      </c>
      <c r="F16" s="68">
        <f>269*3</f>
        <v>807</v>
      </c>
      <c r="G16" s="68">
        <v>64</v>
      </c>
      <c r="H16" s="68">
        <v>34</v>
      </c>
      <c r="I16" s="68">
        <v>6.5</v>
      </c>
      <c r="J16" s="68">
        <v>3.5</v>
      </c>
      <c r="K16" s="68">
        <f t="shared" si="0"/>
        <v>22.75</v>
      </c>
      <c r="L16" s="68">
        <v>23</v>
      </c>
      <c r="M16" s="68">
        <v>2</v>
      </c>
      <c r="N16" s="70">
        <f t="shared" si="1"/>
        <v>11.5</v>
      </c>
      <c r="O16" s="68">
        <v>4.5</v>
      </c>
      <c r="P16" s="68">
        <v>28</v>
      </c>
      <c r="Q16" s="68">
        <f>189.48-3.74</f>
        <v>185.73999999999998</v>
      </c>
      <c r="R16" s="68">
        <f>91.78-3.74</f>
        <v>88.04</v>
      </c>
      <c r="S16" s="68">
        <f>25.12-3.74</f>
        <v>21.380000000000003</v>
      </c>
      <c r="T16" s="71">
        <v>11.49</v>
      </c>
      <c r="U16" s="71">
        <v>5.52</v>
      </c>
      <c r="V16" s="71">
        <v>9</v>
      </c>
    </row>
    <row r="17" spans="1:22" x14ac:dyDescent="0.25">
      <c r="A17" s="68" t="s">
        <v>3128</v>
      </c>
      <c r="B17" s="83"/>
      <c r="C17" s="68" t="s">
        <v>3148</v>
      </c>
      <c r="D17" s="69">
        <v>7</v>
      </c>
      <c r="E17" s="69">
        <v>39</v>
      </c>
      <c r="F17" s="68">
        <f>180*3</f>
        <v>540</v>
      </c>
      <c r="G17" s="68">
        <v>46</v>
      </c>
      <c r="H17" s="68">
        <v>35</v>
      </c>
      <c r="I17" s="68">
        <v>7.5</v>
      </c>
      <c r="J17" s="68">
        <v>3</v>
      </c>
      <c r="K17" s="68">
        <f t="shared" si="0"/>
        <v>22.5</v>
      </c>
      <c r="L17" s="68">
        <v>24</v>
      </c>
      <c r="M17" s="68">
        <v>1.5</v>
      </c>
      <c r="N17" s="70">
        <f t="shared" si="1"/>
        <v>16</v>
      </c>
      <c r="O17" s="68">
        <v>3</v>
      </c>
      <c r="P17" s="68">
        <v>30</v>
      </c>
      <c r="Q17" s="68">
        <f>172.3-7.78</f>
        <v>164.52</v>
      </c>
      <c r="R17" s="68">
        <f>73.95-7.78</f>
        <v>66.17</v>
      </c>
      <c r="S17" s="70">
        <v>11.28</v>
      </c>
      <c r="T17" s="68">
        <v>3.2799999999999994</v>
      </c>
      <c r="U17" s="68">
        <v>2.1400000000000006</v>
      </c>
      <c r="V17" s="68">
        <v>8</v>
      </c>
    </row>
    <row r="18" spans="1:22" x14ac:dyDescent="0.25">
      <c r="A18" s="68" t="s">
        <v>3128</v>
      </c>
      <c r="B18" s="83" t="s">
        <v>3149</v>
      </c>
      <c r="C18" s="68" t="s">
        <v>3150</v>
      </c>
      <c r="D18" s="69">
        <v>7</v>
      </c>
      <c r="E18" s="69">
        <v>35</v>
      </c>
      <c r="F18" s="68">
        <f>128*3</f>
        <v>384</v>
      </c>
      <c r="G18" s="68">
        <v>60</v>
      </c>
      <c r="H18" s="68">
        <v>26</v>
      </c>
      <c r="I18" s="68">
        <v>9</v>
      </c>
      <c r="J18" s="68">
        <v>3</v>
      </c>
      <c r="K18" s="68">
        <f t="shared" si="0"/>
        <v>27</v>
      </c>
      <c r="L18" s="68">
        <v>19.5</v>
      </c>
      <c r="M18" s="68">
        <v>2</v>
      </c>
      <c r="N18" s="70">
        <f t="shared" si="1"/>
        <v>9.75</v>
      </c>
      <c r="O18" s="68">
        <v>2.5</v>
      </c>
      <c r="P18" s="68">
        <v>23</v>
      </c>
      <c r="Q18" s="70">
        <f>139.74-3.74</f>
        <v>136</v>
      </c>
      <c r="R18" s="68">
        <f>69.82-3.74</f>
        <v>66.08</v>
      </c>
      <c r="S18" s="68">
        <f>22.49-3.74</f>
        <v>18.75</v>
      </c>
      <c r="T18" s="68">
        <v>9.11</v>
      </c>
      <c r="U18" s="68">
        <v>6.98</v>
      </c>
      <c r="V18" s="68">
        <v>17</v>
      </c>
    </row>
    <row r="19" spans="1:22" x14ac:dyDescent="0.25">
      <c r="A19" s="68" t="s">
        <v>3128</v>
      </c>
      <c r="B19" s="83"/>
      <c r="C19" s="68" t="s">
        <v>3151</v>
      </c>
      <c r="D19" s="69">
        <v>7</v>
      </c>
      <c r="E19" s="69">
        <v>35</v>
      </c>
      <c r="F19" s="68">
        <f>155*3</f>
        <v>465</v>
      </c>
      <c r="G19" s="68">
        <v>68</v>
      </c>
      <c r="H19" s="68">
        <v>31</v>
      </c>
      <c r="I19" s="68">
        <v>10</v>
      </c>
      <c r="J19" s="68">
        <v>3</v>
      </c>
      <c r="K19" s="68">
        <f t="shared" si="0"/>
        <v>30</v>
      </c>
      <c r="L19" s="68">
        <v>21</v>
      </c>
      <c r="M19" s="68">
        <v>1.5</v>
      </c>
      <c r="N19" s="70">
        <f t="shared" si="1"/>
        <v>14</v>
      </c>
      <c r="O19" s="68">
        <v>2.5</v>
      </c>
      <c r="P19" s="68">
        <v>20</v>
      </c>
      <c r="Q19" s="68">
        <f>127.29-3.74</f>
        <v>123.55000000000001</v>
      </c>
      <c r="R19" s="68">
        <f>80.42-3.74</f>
        <v>76.680000000000007</v>
      </c>
      <c r="S19" s="68">
        <v>6.16</v>
      </c>
      <c r="T19" s="68">
        <v>3.16</v>
      </c>
      <c r="U19" s="68">
        <v>2.62</v>
      </c>
      <c r="V19" s="68">
        <v>4</v>
      </c>
    </row>
    <row r="20" spans="1:22" x14ac:dyDescent="0.25">
      <c r="A20" s="68" t="s">
        <v>3128</v>
      </c>
      <c r="B20" s="83"/>
      <c r="C20" s="68" t="s">
        <v>3152</v>
      </c>
      <c r="D20" s="69">
        <v>7</v>
      </c>
      <c r="E20" s="69">
        <v>35</v>
      </c>
      <c r="F20" s="68">
        <f>189*3</f>
        <v>567</v>
      </c>
      <c r="G20" s="68">
        <v>66</v>
      </c>
      <c r="H20" s="68">
        <v>36</v>
      </c>
      <c r="I20" s="68">
        <v>8.5</v>
      </c>
      <c r="J20" s="68">
        <v>3</v>
      </c>
      <c r="K20" s="68">
        <f t="shared" si="0"/>
        <v>25.5</v>
      </c>
      <c r="L20" s="68">
        <v>24.5</v>
      </c>
      <c r="M20" s="68">
        <v>1.5</v>
      </c>
      <c r="N20" s="70">
        <f t="shared" si="1"/>
        <v>16.333333333333332</v>
      </c>
      <c r="O20" s="68">
        <v>2.5</v>
      </c>
      <c r="P20" s="68">
        <v>18</v>
      </c>
      <c r="Q20" s="68">
        <f>129.33-3.74</f>
        <v>125.59000000000002</v>
      </c>
      <c r="R20" s="68">
        <f>95.9-3.74</f>
        <v>92.160000000000011</v>
      </c>
      <c r="S20" s="68">
        <f>20.75-3.74</f>
        <v>17.009999999999998</v>
      </c>
      <c r="T20" s="68">
        <v>11.57</v>
      </c>
      <c r="U20" s="68">
        <v>6.3900000000000006</v>
      </c>
      <c r="V20" s="68">
        <v>15</v>
      </c>
    </row>
    <row r="21" spans="1:22" x14ac:dyDescent="0.25">
      <c r="A21" s="68" t="s">
        <v>3128</v>
      </c>
      <c r="B21" s="83" t="s">
        <v>3153</v>
      </c>
      <c r="C21" s="68" t="s">
        <v>3154</v>
      </c>
      <c r="D21" s="69">
        <v>7</v>
      </c>
      <c r="E21" s="69">
        <v>39</v>
      </c>
      <c r="F21" s="68">
        <f>247*3</f>
        <v>741</v>
      </c>
      <c r="G21" s="68">
        <v>64</v>
      </c>
      <c r="H21" s="68">
        <v>41</v>
      </c>
      <c r="I21" s="68">
        <v>7.5</v>
      </c>
      <c r="J21" s="68">
        <v>4</v>
      </c>
      <c r="K21" s="68">
        <f t="shared" si="0"/>
        <v>30</v>
      </c>
      <c r="L21" s="68">
        <v>22</v>
      </c>
      <c r="M21" s="68">
        <v>2</v>
      </c>
      <c r="N21" s="70">
        <f t="shared" si="1"/>
        <v>11</v>
      </c>
      <c r="O21" s="68">
        <v>4</v>
      </c>
      <c r="P21" s="68">
        <v>32</v>
      </c>
      <c r="Q21" s="68">
        <f>199.75-3.74</f>
        <v>196.01</v>
      </c>
      <c r="R21" s="68">
        <f>133.8-3.74</f>
        <v>130.06</v>
      </c>
      <c r="S21" s="68">
        <f>66.81-3.74</f>
        <v>63.07</v>
      </c>
      <c r="T21" s="71">
        <v>20.5</v>
      </c>
      <c r="U21" s="71">
        <v>11.829999999999998</v>
      </c>
      <c r="V21" s="71">
        <v>26</v>
      </c>
    </row>
    <row r="22" spans="1:22" x14ac:dyDescent="0.25">
      <c r="A22" s="68" t="s">
        <v>3128</v>
      </c>
      <c r="B22" s="83"/>
      <c r="C22" s="68" t="s">
        <v>3155</v>
      </c>
      <c r="D22" s="69">
        <v>7</v>
      </c>
      <c r="E22" s="69">
        <v>39</v>
      </c>
      <c r="F22" s="68">
        <f>192*3</f>
        <v>576</v>
      </c>
      <c r="G22" s="68">
        <v>66</v>
      </c>
      <c r="H22" s="68">
        <v>33</v>
      </c>
      <c r="I22" s="68">
        <v>7</v>
      </c>
      <c r="J22" s="68">
        <v>3</v>
      </c>
      <c r="K22" s="68">
        <f t="shared" si="0"/>
        <v>21</v>
      </c>
      <c r="L22" s="68">
        <v>24.5</v>
      </c>
      <c r="M22" s="68">
        <v>2</v>
      </c>
      <c r="N22" s="70">
        <f t="shared" si="1"/>
        <v>12.25</v>
      </c>
      <c r="O22" s="68">
        <v>2.5</v>
      </c>
      <c r="P22" s="68">
        <v>16</v>
      </c>
      <c r="Q22" s="68">
        <f>92.48-3.74</f>
        <v>88.740000000000009</v>
      </c>
      <c r="R22" s="68">
        <f>72.49-3.74</f>
        <v>68.75</v>
      </c>
      <c r="S22" s="68">
        <f>11.23-3.74</f>
        <v>7.49</v>
      </c>
      <c r="T22" s="71">
        <v>4.2</v>
      </c>
      <c r="U22" s="71">
        <v>3.0199999999999996</v>
      </c>
      <c r="V22" s="71">
        <v>5</v>
      </c>
    </row>
    <row r="23" spans="1:22" x14ac:dyDescent="0.25">
      <c r="A23" s="68" t="s">
        <v>3128</v>
      </c>
      <c r="B23" s="83"/>
      <c r="C23" s="68" t="s">
        <v>3156</v>
      </c>
      <c r="D23" s="69">
        <v>7</v>
      </c>
      <c r="E23" s="69">
        <v>39</v>
      </c>
      <c r="F23" s="68">
        <f>232*3</f>
        <v>696</v>
      </c>
      <c r="G23" s="68">
        <v>61</v>
      </c>
      <c r="H23" s="68">
        <v>33</v>
      </c>
      <c r="I23" s="68">
        <v>7.5</v>
      </c>
      <c r="J23" s="68">
        <v>3.5</v>
      </c>
      <c r="K23" s="68">
        <f t="shared" si="0"/>
        <v>26.25</v>
      </c>
      <c r="L23" s="68">
        <v>23</v>
      </c>
      <c r="M23" s="68">
        <v>2</v>
      </c>
      <c r="N23" s="70">
        <f t="shared" si="1"/>
        <v>11.5</v>
      </c>
      <c r="O23" s="68">
        <v>4.5</v>
      </c>
      <c r="P23" s="68">
        <v>29</v>
      </c>
      <c r="Q23" s="68">
        <f>202.5-3.74</f>
        <v>198.76</v>
      </c>
      <c r="R23" s="68">
        <f>76.46-3.74</f>
        <v>72.72</v>
      </c>
      <c r="S23" s="68">
        <f>45.53-3.74</f>
        <v>41.79</v>
      </c>
      <c r="T23" s="71">
        <v>13.82</v>
      </c>
      <c r="U23" s="71">
        <v>8.3699999999999992</v>
      </c>
      <c r="V23" s="71">
        <v>20</v>
      </c>
    </row>
    <row r="24" spans="1:22" x14ac:dyDescent="0.25">
      <c r="A24" s="68" t="s">
        <v>3128</v>
      </c>
      <c r="B24" s="83" t="s">
        <v>517</v>
      </c>
      <c r="C24" s="68" t="s">
        <v>3157</v>
      </c>
      <c r="D24" s="69">
        <v>7</v>
      </c>
      <c r="E24" s="69">
        <v>35</v>
      </c>
      <c r="F24" s="68">
        <f>184*3</f>
        <v>552</v>
      </c>
      <c r="G24" s="68">
        <v>53</v>
      </c>
      <c r="H24" s="68">
        <v>30</v>
      </c>
      <c r="I24" s="68">
        <v>8</v>
      </c>
      <c r="J24" s="68">
        <v>3</v>
      </c>
      <c r="K24" s="68">
        <f t="shared" si="0"/>
        <v>24</v>
      </c>
      <c r="L24" s="68">
        <v>19.5</v>
      </c>
      <c r="M24" s="68">
        <v>1.5</v>
      </c>
      <c r="N24" s="70">
        <f t="shared" si="1"/>
        <v>13</v>
      </c>
      <c r="O24" s="68">
        <v>3</v>
      </c>
      <c r="P24" s="68">
        <v>25</v>
      </c>
      <c r="Q24" s="68">
        <f>122.13-3.74</f>
        <v>118.39</v>
      </c>
      <c r="R24" s="68">
        <f>54.41-3.74</f>
        <v>50.669999999999995</v>
      </c>
      <c r="S24" s="68">
        <v>6.22</v>
      </c>
      <c r="T24" s="68">
        <v>4.12</v>
      </c>
      <c r="U24" s="71">
        <v>3.88</v>
      </c>
      <c r="V24" s="68">
        <v>6</v>
      </c>
    </row>
    <row r="25" spans="1:22" x14ac:dyDescent="0.25">
      <c r="A25" s="68" t="s">
        <v>3128</v>
      </c>
      <c r="B25" s="83"/>
      <c r="C25" s="68" t="s">
        <v>3158</v>
      </c>
      <c r="D25" s="69">
        <v>7</v>
      </c>
      <c r="E25" s="69">
        <v>35</v>
      </c>
      <c r="F25" s="68">
        <f>159*3</f>
        <v>477</v>
      </c>
      <c r="G25" s="68">
        <v>58</v>
      </c>
      <c r="H25" s="68">
        <v>38</v>
      </c>
      <c r="I25" s="68">
        <v>7</v>
      </c>
      <c r="J25" s="68">
        <v>3.5</v>
      </c>
      <c r="K25" s="68">
        <f t="shared" si="0"/>
        <v>24.5</v>
      </c>
      <c r="L25" s="68">
        <v>18.5</v>
      </c>
      <c r="M25" s="68">
        <v>1.5</v>
      </c>
      <c r="N25" s="70">
        <f t="shared" si="1"/>
        <v>12.333333333333334</v>
      </c>
      <c r="O25" s="68">
        <v>4</v>
      </c>
      <c r="P25" s="68">
        <v>26</v>
      </c>
      <c r="Q25" s="68">
        <f>91.81-7.78</f>
        <v>84.03</v>
      </c>
      <c r="R25" s="68">
        <f>62.58-7.78</f>
        <v>54.8</v>
      </c>
      <c r="S25" s="71">
        <v>8.93</v>
      </c>
      <c r="T25" s="71">
        <v>5.8699999999999992</v>
      </c>
      <c r="U25" s="71">
        <v>0.65000000000000036</v>
      </c>
      <c r="V25" s="71">
        <v>1</v>
      </c>
    </row>
    <row r="26" spans="1:22" x14ac:dyDescent="0.25">
      <c r="A26" s="68" t="s">
        <v>3128</v>
      </c>
      <c r="B26" s="83"/>
      <c r="C26" s="68" t="s">
        <v>3159</v>
      </c>
      <c r="D26" s="69">
        <v>11</v>
      </c>
      <c r="E26" s="69">
        <v>35</v>
      </c>
      <c r="F26" s="68">
        <f>141*3</f>
        <v>423</v>
      </c>
      <c r="G26" s="68">
        <v>52</v>
      </c>
      <c r="H26" s="68">
        <v>30</v>
      </c>
      <c r="I26" s="68">
        <v>6</v>
      </c>
      <c r="J26" s="68">
        <v>3</v>
      </c>
      <c r="K26" s="68">
        <f t="shared" si="0"/>
        <v>18</v>
      </c>
      <c r="L26" s="68">
        <v>22.5</v>
      </c>
      <c r="M26" s="68">
        <v>1.5</v>
      </c>
      <c r="N26" s="70">
        <f t="shared" si="1"/>
        <v>15</v>
      </c>
      <c r="O26" s="68">
        <v>4.5</v>
      </c>
      <c r="P26" s="68">
        <v>22</v>
      </c>
      <c r="Q26" s="68">
        <f>63.26-3.74</f>
        <v>59.519999999999996</v>
      </c>
      <c r="R26" s="68">
        <f>56-3.74</f>
        <v>52.26</v>
      </c>
      <c r="S26" s="68">
        <f>8.41-3.74</f>
        <v>4.67</v>
      </c>
      <c r="T26" s="71">
        <v>2.96</v>
      </c>
      <c r="U26" s="71">
        <v>2.38</v>
      </c>
      <c r="V26" s="71">
        <v>3</v>
      </c>
    </row>
    <row r="27" spans="1:22" x14ac:dyDescent="0.25">
      <c r="A27" s="68" t="s">
        <v>3128</v>
      </c>
      <c r="B27" s="83" t="s">
        <v>3160</v>
      </c>
      <c r="C27" s="68" t="s">
        <v>3161</v>
      </c>
      <c r="D27" s="69">
        <v>7</v>
      </c>
      <c r="E27" s="69">
        <v>35</v>
      </c>
      <c r="F27" s="68">
        <f>212*3</f>
        <v>636</v>
      </c>
      <c r="G27" s="68">
        <v>54</v>
      </c>
      <c r="H27" s="68">
        <v>30</v>
      </c>
      <c r="I27" s="68">
        <v>7</v>
      </c>
      <c r="J27" s="68">
        <v>3</v>
      </c>
      <c r="K27" s="68">
        <f t="shared" si="0"/>
        <v>21</v>
      </c>
      <c r="L27" s="68">
        <v>16</v>
      </c>
      <c r="M27" s="68">
        <v>2</v>
      </c>
      <c r="N27" s="70">
        <f t="shared" si="1"/>
        <v>8</v>
      </c>
      <c r="O27" s="68">
        <v>3.5</v>
      </c>
      <c r="P27" s="68">
        <v>30</v>
      </c>
      <c r="Q27" s="68">
        <f>130.02-3.74</f>
        <v>126.28000000000002</v>
      </c>
      <c r="R27" s="68">
        <f>82.02-7.78</f>
        <v>74.239999999999995</v>
      </c>
      <c r="S27" s="68">
        <f>45.96-3.74</f>
        <v>42.22</v>
      </c>
      <c r="T27" s="71">
        <v>22.74</v>
      </c>
      <c r="U27" s="71">
        <v>14.7</v>
      </c>
      <c r="V27" s="71">
        <v>25</v>
      </c>
    </row>
    <row r="28" spans="1:22" x14ac:dyDescent="0.25">
      <c r="A28" s="68" t="s">
        <v>3128</v>
      </c>
      <c r="B28" s="83"/>
      <c r="C28" s="68" t="s">
        <v>3162</v>
      </c>
      <c r="D28" s="69">
        <v>7</v>
      </c>
      <c r="E28" s="69">
        <v>35</v>
      </c>
      <c r="F28" s="68">
        <f>388*3</f>
        <v>1164</v>
      </c>
      <c r="G28" s="68">
        <v>61</v>
      </c>
      <c r="H28" s="68">
        <v>39</v>
      </c>
      <c r="I28" s="68">
        <v>7</v>
      </c>
      <c r="J28" s="68">
        <v>3</v>
      </c>
      <c r="K28" s="68">
        <f t="shared" si="0"/>
        <v>21</v>
      </c>
      <c r="L28" s="68">
        <v>19.5</v>
      </c>
      <c r="M28" s="68">
        <v>1.5</v>
      </c>
      <c r="N28" s="70">
        <f t="shared" si="1"/>
        <v>13</v>
      </c>
      <c r="O28" s="68">
        <v>4.5</v>
      </c>
      <c r="P28" s="68">
        <v>42</v>
      </c>
      <c r="Q28" s="68">
        <f>245.67-3.74</f>
        <v>241.92999999999998</v>
      </c>
      <c r="R28" s="68">
        <f>123.28-3.74</f>
        <v>119.54</v>
      </c>
      <c r="S28" s="68">
        <f>165.02-3.74</f>
        <v>161.28</v>
      </c>
      <c r="T28" s="71">
        <v>70.91</v>
      </c>
      <c r="U28" s="71">
        <v>44.48</v>
      </c>
      <c r="V28" s="71">
        <v>64</v>
      </c>
    </row>
    <row r="29" spans="1:22" x14ac:dyDescent="0.25">
      <c r="A29" s="68" t="s">
        <v>3128</v>
      </c>
      <c r="B29" s="83"/>
      <c r="C29" s="68" t="s">
        <v>3163</v>
      </c>
      <c r="D29" s="69">
        <v>7</v>
      </c>
      <c r="E29" s="69">
        <v>35</v>
      </c>
      <c r="F29" s="68">
        <f>307*3</f>
        <v>921</v>
      </c>
      <c r="G29" s="68">
        <v>47</v>
      </c>
      <c r="H29" s="68">
        <v>26</v>
      </c>
      <c r="I29" s="68">
        <v>4.5</v>
      </c>
      <c r="J29" s="68">
        <v>2</v>
      </c>
      <c r="K29" s="68">
        <f t="shared" si="0"/>
        <v>9</v>
      </c>
      <c r="L29" s="68">
        <v>13</v>
      </c>
      <c r="M29" s="68">
        <v>2</v>
      </c>
      <c r="N29" s="70">
        <f t="shared" si="1"/>
        <v>6.5</v>
      </c>
      <c r="O29" s="68">
        <v>3.5</v>
      </c>
      <c r="P29" s="68">
        <v>42</v>
      </c>
      <c r="Q29" s="70">
        <f>108.34-3.74</f>
        <v>104.60000000000001</v>
      </c>
      <c r="R29" s="68">
        <f>80.09-3.74</f>
        <v>76.350000000000009</v>
      </c>
      <c r="S29" s="68">
        <f>11.88-3.74</f>
        <v>8.14</v>
      </c>
      <c r="T29" s="71">
        <v>5.9</v>
      </c>
      <c r="U29" s="71">
        <v>4.0599999999999996</v>
      </c>
      <c r="V29" s="71">
        <v>6</v>
      </c>
    </row>
    <row r="30" spans="1:22" x14ac:dyDescent="0.25">
      <c r="A30" s="68" t="s">
        <v>3128</v>
      </c>
      <c r="B30" s="84" t="s">
        <v>3164</v>
      </c>
      <c r="C30" s="68" t="s">
        <v>3165</v>
      </c>
      <c r="D30" s="69">
        <v>7</v>
      </c>
      <c r="E30" s="69">
        <v>35</v>
      </c>
      <c r="F30" s="68">
        <f>298*3</f>
        <v>894</v>
      </c>
      <c r="G30" s="68">
        <v>57</v>
      </c>
      <c r="H30" s="68">
        <v>28</v>
      </c>
      <c r="I30" s="68">
        <v>7</v>
      </c>
      <c r="J30" s="68">
        <v>3.5</v>
      </c>
      <c r="K30" s="68">
        <f t="shared" si="0"/>
        <v>24.5</v>
      </c>
      <c r="L30" s="68">
        <v>19</v>
      </c>
      <c r="M30" s="68">
        <v>2</v>
      </c>
      <c r="N30" s="70">
        <f t="shared" si="1"/>
        <v>9.5</v>
      </c>
      <c r="O30" s="68">
        <v>4</v>
      </c>
      <c r="P30" s="68">
        <v>26</v>
      </c>
      <c r="Q30" s="68">
        <f>149.16-3.74</f>
        <v>145.41999999999999</v>
      </c>
      <c r="R30" s="68">
        <f>93.51-3.74</f>
        <v>89.77000000000001</v>
      </c>
      <c r="S30" s="68">
        <f>94.99-3.74</f>
        <v>91.25</v>
      </c>
      <c r="T30" s="71">
        <v>36.299999999999997</v>
      </c>
      <c r="U30" s="71">
        <v>24.92</v>
      </c>
      <c r="V30" s="71">
        <v>72</v>
      </c>
    </row>
    <row r="31" spans="1:22" x14ac:dyDescent="0.25">
      <c r="A31" s="68" t="s">
        <v>3128</v>
      </c>
      <c r="B31" s="84"/>
      <c r="C31" s="68" t="s">
        <v>3166</v>
      </c>
      <c r="D31" s="69">
        <v>9</v>
      </c>
      <c r="E31" s="69">
        <v>35</v>
      </c>
      <c r="F31" s="68">
        <f>201*3</f>
        <v>603</v>
      </c>
      <c r="G31" s="68">
        <v>46</v>
      </c>
      <c r="H31" s="68">
        <v>31</v>
      </c>
      <c r="I31" s="68">
        <v>6</v>
      </c>
      <c r="J31" s="68">
        <v>3</v>
      </c>
      <c r="K31" s="68">
        <f t="shared" si="0"/>
        <v>18</v>
      </c>
      <c r="L31" s="68">
        <v>19.5</v>
      </c>
      <c r="M31" s="68">
        <v>1.5</v>
      </c>
      <c r="N31" s="70">
        <f t="shared" si="1"/>
        <v>13</v>
      </c>
      <c r="O31" s="68">
        <v>4.5</v>
      </c>
      <c r="P31" s="68">
        <v>23</v>
      </c>
      <c r="Q31" s="68">
        <f>120.66-3.74</f>
        <v>116.92</v>
      </c>
      <c r="R31" s="68">
        <f>51.75-3.74</f>
        <v>48.01</v>
      </c>
      <c r="S31" s="68">
        <f>37.5-3.74</f>
        <v>33.76</v>
      </c>
      <c r="T31" s="71">
        <v>12.52</v>
      </c>
      <c r="U31" s="71">
        <v>9.27</v>
      </c>
      <c r="V31" s="71">
        <v>22</v>
      </c>
    </row>
    <row r="32" spans="1:22" x14ac:dyDescent="0.25">
      <c r="A32" s="68" t="s">
        <v>3128</v>
      </c>
      <c r="B32" s="84"/>
      <c r="C32" s="68" t="s">
        <v>3167</v>
      </c>
      <c r="D32" s="69">
        <v>7</v>
      </c>
      <c r="E32" s="69">
        <v>35</v>
      </c>
      <c r="F32" s="68">
        <f>157*3</f>
        <v>471</v>
      </c>
      <c r="G32" s="68">
        <v>56</v>
      </c>
      <c r="H32" s="68">
        <v>32</v>
      </c>
      <c r="I32" s="68">
        <v>6</v>
      </c>
      <c r="J32" s="68">
        <v>3</v>
      </c>
      <c r="K32" s="68">
        <f t="shared" si="0"/>
        <v>18</v>
      </c>
      <c r="L32" s="68">
        <v>21</v>
      </c>
      <c r="M32" s="68">
        <v>1</v>
      </c>
      <c r="N32" s="70">
        <f t="shared" si="1"/>
        <v>21</v>
      </c>
      <c r="O32" s="68">
        <v>4</v>
      </c>
      <c r="P32" s="68">
        <v>20</v>
      </c>
      <c r="Q32" s="68">
        <f>93.17-3.74</f>
        <v>89.43</v>
      </c>
      <c r="R32" s="68">
        <f>48.7-3.74</f>
        <v>44.96</v>
      </c>
      <c r="S32" s="68">
        <f>76.35-3.74</f>
        <v>72.61</v>
      </c>
      <c r="T32" s="71">
        <v>32.729999999999997</v>
      </c>
      <c r="U32" s="71">
        <v>23.73</v>
      </c>
      <c r="V32" s="71">
        <v>40</v>
      </c>
    </row>
    <row r="33" spans="1:22" x14ac:dyDescent="0.25">
      <c r="A33" s="68" t="s">
        <v>3128</v>
      </c>
      <c r="B33" s="84" t="s">
        <v>3168</v>
      </c>
      <c r="C33" s="68" t="s">
        <v>3169</v>
      </c>
      <c r="D33" s="69">
        <v>7</v>
      </c>
      <c r="E33" s="69">
        <v>35</v>
      </c>
      <c r="F33" s="68">
        <f>172*3</f>
        <v>516</v>
      </c>
      <c r="G33" s="68">
        <v>60</v>
      </c>
      <c r="H33" s="68">
        <v>31</v>
      </c>
      <c r="I33" s="68">
        <v>7</v>
      </c>
      <c r="J33" s="68">
        <v>3.5</v>
      </c>
      <c r="K33" s="68">
        <f t="shared" si="0"/>
        <v>24.5</v>
      </c>
      <c r="L33" s="68">
        <v>20.5</v>
      </c>
      <c r="M33" s="68">
        <v>2.5</v>
      </c>
      <c r="N33" s="70">
        <f t="shared" si="1"/>
        <v>8.1999999999999993</v>
      </c>
      <c r="O33" s="68">
        <v>4</v>
      </c>
      <c r="P33" s="68">
        <v>37</v>
      </c>
      <c r="Q33" s="68">
        <f>173.16-3.74</f>
        <v>169.42</v>
      </c>
      <c r="R33" s="68">
        <f>112.76-3.74</f>
        <v>109.02000000000001</v>
      </c>
      <c r="S33" s="68">
        <v>7.89</v>
      </c>
      <c r="T33" s="71">
        <v>1.9699999999999998</v>
      </c>
      <c r="U33" s="71">
        <v>0.87999999999999989</v>
      </c>
      <c r="V33" s="71">
        <v>1</v>
      </c>
    </row>
    <row r="34" spans="1:22" x14ac:dyDescent="0.25">
      <c r="A34" s="68" t="s">
        <v>3128</v>
      </c>
      <c r="B34" s="84"/>
      <c r="C34" s="68" t="s">
        <v>3170</v>
      </c>
      <c r="D34" s="69">
        <v>9</v>
      </c>
      <c r="E34" s="69">
        <v>35</v>
      </c>
      <c r="F34" s="68">
        <f>236*3</f>
        <v>708</v>
      </c>
      <c r="G34" s="68">
        <v>51</v>
      </c>
      <c r="H34" s="68">
        <v>35</v>
      </c>
      <c r="I34" s="68">
        <v>7</v>
      </c>
      <c r="J34" s="68">
        <v>3.5</v>
      </c>
      <c r="K34" s="68">
        <f t="shared" si="0"/>
        <v>24.5</v>
      </c>
      <c r="L34" s="68">
        <v>19.5</v>
      </c>
      <c r="M34" s="68">
        <v>2</v>
      </c>
      <c r="N34" s="70">
        <f t="shared" si="1"/>
        <v>9.75</v>
      </c>
      <c r="O34" s="68">
        <v>6</v>
      </c>
      <c r="P34" s="68">
        <v>28</v>
      </c>
      <c r="Q34" s="68">
        <f>139.66-3.74</f>
        <v>135.91999999999999</v>
      </c>
      <c r="R34" s="68">
        <f>85.38-3.74</f>
        <v>81.64</v>
      </c>
      <c r="S34" s="68">
        <f>26.4-3.74</f>
        <v>22.659999999999997</v>
      </c>
      <c r="T34" s="71">
        <v>6.0600000000000005</v>
      </c>
      <c r="U34" s="71">
        <v>2.54</v>
      </c>
      <c r="V34" s="71">
        <v>9</v>
      </c>
    </row>
    <row r="35" spans="1:22" x14ac:dyDescent="0.25">
      <c r="A35" s="68" t="s">
        <v>3128</v>
      </c>
      <c r="B35" s="84"/>
      <c r="C35" s="68" t="s">
        <v>3171</v>
      </c>
      <c r="D35" s="69">
        <v>11</v>
      </c>
      <c r="E35" s="69">
        <v>35</v>
      </c>
      <c r="F35" s="68">
        <f>285*3</f>
        <v>855</v>
      </c>
      <c r="G35" s="68">
        <v>74</v>
      </c>
      <c r="H35" s="68">
        <v>34</v>
      </c>
      <c r="I35" s="68">
        <v>8.5</v>
      </c>
      <c r="J35" s="68">
        <v>4.5</v>
      </c>
      <c r="K35" s="68">
        <f t="shared" si="0"/>
        <v>38.25</v>
      </c>
      <c r="L35" s="68">
        <v>21.5</v>
      </c>
      <c r="M35" s="68">
        <v>1.5</v>
      </c>
      <c r="N35" s="70">
        <f t="shared" si="1"/>
        <v>14.333333333333334</v>
      </c>
      <c r="O35" s="68">
        <v>5</v>
      </c>
      <c r="P35" s="68">
        <v>33</v>
      </c>
      <c r="Q35" s="68">
        <f>338.23-3.74</f>
        <v>334.49</v>
      </c>
      <c r="R35" s="68">
        <f>156.71-3.74</f>
        <v>152.97</v>
      </c>
      <c r="S35" s="68">
        <f>24.03-3.74</f>
        <v>20.29</v>
      </c>
      <c r="T35" s="68">
        <v>7.4499999999999993</v>
      </c>
      <c r="U35" s="68">
        <v>5.67</v>
      </c>
      <c r="V35" s="68">
        <v>6</v>
      </c>
    </row>
    <row r="36" spans="1:22" x14ac:dyDescent="0.25">
      <c r="A36" s="68" t="s">
        <v>3128</v>
      </c>
      <c r="B36" s="83" t="s">
        <v>3172</v>
      </c>
      <c r="C36" s="68" t="s">
        <v>3173</v>
      </c>
      <c r="D36" s="69">
        <v>9</v>
      </c>
      <c r="E36" s="69">
        <v>35</v>
      </c>
      <c r="F36" s="68">
        <f>251*3</f>
        <v>753</v>
      </c>
      <c r="G36" s="68">
        <v>74</v>
      </c>
      <c r="H36" s="68">
        <v>32</v>
      </c>
      <c r="I36" s="68">
        <v>8.5</v>
      </c>
      <c r="J36" s="68">
        <v>3.5</v>
      </c>
      <c r="K36" s="68">
        <f t="shared" si="0"/>
        <v>29.75</v>
      </c>
      <c r="L36" s="68">
        <v>24</v>
      </c>
      <c r="M36" s="68">
        <v>2</v>
      </c>
      <c r="N36" s="70">
        <f t="shared" si="1"/>
        <v>12</v>
      </c>
      <c r="O36" s="68">
        <v>3</v>
      </c>
      <c r="P36" s="68">
        <v>24</v>
      </c>
      <c r="Q36" s="68">
        <f>178.68-3.74</f>
        <v>174.94</v>
      </c>
      <c r="R36" s="68">
        <f>97.65-3.74</f>
        <v>93.910000000000011</v>
      </c>
      <c r="S36" s="68">
        <f>7.4-3.74</f>
        <v>3.66</v>
      </c>
      <c r="T36" s="71">
        <v>2.1799999999999997</v>
      </c>
      <c r="U36" s="71">
        <v>1.8200000000000003</v>
      </c>
      <c r="V36" s="71">
        <v>4</v>
      </c>
    </row>
    <row r="37" spans="1:22" x14ac:dyDescent="0.25">
      <c r="A37" s="68" t="s">
        <v>3128</v>
      </c>
      <c r="B37" s="83"/>
      <c r="C37" s="68" t="s">
        <v>3174</v>
      </c>
      <c r="D37" s="69">
        <v>9</v>
      </c>
      <c r="E37" s="69">
        <v>35</v>
      </c>
      <c r="F37" s="68">
        <f>185*3</f>
        <v>555</v>
      </c>
      <c r="G37" s="68">
        <v>40</v>
      </c>
      <c r="H37" s="68">
        <v>28</v>
      </c>
      <c r="I37" s="68">
        <v>6</v>
      </c>
      <c r="J37" s="68">
        <v>2.5</v>
      </c>
      <c r="K37" s="68">
        <f t="shared" si="0"/>
        <v>15</v>
      </c>
      <c r="L37" s="68">
        <v>18</v>
      </c>
      <c r="M37" s="68">
        <v>1.5</v>
      </c>
      <c r="N37" s="70">
        <f t="shared" si="1"/>
        <v>12</v>
      </c>
      <c r="O37" s="68">
        <v>3</v>
      </c>
      <c r="P37" s="68">
        <v>21</v>
      </c>
      <c r="Q37" s="68">
        <f>66.78-3.74</f>
        <v>63.04</v>
      </c>
      <c r="R37" s="70">
        <f>60.64-3.74</f>
        <v>56.9</v>
      </c>
      <c r="S37" s="68">
        <f>9.99-3.74</f>
        <v>6.25</v>
      </c>
      <c r="T37" s="71">
        <v>5.2799999999999994</v>
      </c>
      <c r="U37" s="71">
        <v>3.95</v>
      </c>
      <c r="V37" s="71">
        <v>6</v>
      </c>
    </row>
    <row r="38" spans="1:22" x14ac:dyDescent="0.25">
      <c r="A38" s="68" t="s">
        <v>3128</v>
      </c>
      <c r="B38" s="83"/>
      <c r="C38" s="68" t="s">
        <v>3175</v>
      </c>
      <c r="D38" s="69">
        <v>7</v>
      </c>
      <c r="E38" s="69">
        <v>35</v>
      </c>
      <c r="F38" s="68">
        <f>299*3</f>
        <v>897</v>
      </c>
      <c r="G38" s="68">
        <v>66</v>
      </c>
      <c r="H38" s="68">
        <v>47</v>
      </c>
      <c r="I38" s="68">
        <v>7.5</v>
      </c>
      <c r="J38" s="68">
        <v>2.5</v>
      </c>
      <c r="K38" s="68">
        <f t="shared" si="0"/>
        <v>18.75</v>
      </c>
      <c r="L38" s="68">
        <v>22</v>
      </c>
      <c r="M38" s="68">
        <v>2</v>
      </c>
      <c r="N38" s="70">
        <f t="shared" si="1"/>
        <v>11</v>
      </c>
      <c r="O38" s="68">
        <v>2</v>
      </c>
      <c r="P38" s="68">
        <v>44</v>
      </c>
      <c r="Q38" s="68">
        <f>174.15-3.74</f>
        <v>170.41</v>
      </c>
      <c r="R38" s="68">
        <f>113.4-3.74</f>
        <v>109.66000000000001</v>
      </c>
      <c r="S38" s="68">
        <v>7.88</v>
      </c>
      <c r="T38" s="71">
        <v>1.04</v>
      </c>
      <c r="U38" s="71">
        <v>0.94</v>
      </c>
      <c r="V38" s="71">
        <v>1</v>
      </c>
    </row>
    <row r="39" spans="1:22" x14ac:dyDescent="0.25">
      <c r="A39" s="68" t="s">
        <v>3128</v>
      </c>
      <c r="B39" s="83" t="s">
        <v>3176</v>
      </c>
      <c r="C39" s="68" t="s">
        <v>3177</v>
      </c>
      <c r="D39" s="69">
        <v>7</v>
      </c>
      <c r="E39" s="69">
        <v>35</v>
      </c>
      <c r="F39" s="68">
        <f>175*3</f>
        <v>525</v>
      </c>
      <c r="G39" s="68">
        <v>43</v>
      </c>
      <c r="H39" s="68">
        <v>26</v>
      </c>
      <c r="I39" s="68">
        <v>6</v>
      </c>
      <c r="J39" s="68">
        <v>2.5</v>
      </c>
      <c r="K39" s="68">
        <f t="shared" si="0"/>
        <v>15</v>
      </c>
      <c r="L39" s="68">
        <v>18.5</v>
      </c>
      <c r="M39" s="68">
        <v>1.5</v>
      </c>
      <c r="N39" s="70">
        <f t="shared" si="1"/>
        <v>12.333333333333334</v>
      </c>
      <c r="O39" s="68">
        <v>4</v>
      </c>
      <c r="P39" s="68">
        <v>21</v>
      </c>
      <c r="Q39" s="68">
        <f>52.02-3.74</f>
        <v>48.28</v>
      </c>
      <c r="R39" s="68">
        <f>43.62-3.74</f>
        <v>39.879999999999995</v>
      </c>
      <c r="S39" s="68">
        <f>18.5-3.74</f>
        <v>14.76</v>
      </c>
      <c r="T39" s="71">
        <v>8.69</v>
      </c>
      <c r="U39" s="71">
        <v>6.1400000000000006</v>
      </c>
      <c r="V39" s="71">
        <v>8</v>
      </c>
    </row>
    <row r="40" spans="1:22" x14ac:dyDescent="0.25">
      <c r="A40" s="68" t="s">
        <v>3128</v>
      </c>
      <c r="B40" s="83"/>
      <c r="C40" s="68" t="s">
        <v>3178</v>
      </c>
      <c r="D40" s="69">
        <v>7</v>
      </c>
      <c r="E40" s="69">
        <v>35</v>
      </c>
      <c r="F40" s="68">
        <f>117*3</f>
        <v>351</v>
      </c>
      <c r="G40" s="68">
        <v>36</v>
      </c>
      <c r="H40" s="68">
        <v>19</v>
      </c>
      <c r="I40" s="68">
        <v>5</v>
      </c>
      <c r="J40" s="68">
        <v>2</v>
      </c>
      <c r="K40" s="68">
        <f t="shared" si="0"/>
        <v>10</v>
      </c>
      <c r="L40" s="68">
        <v>15</v>
      </c>
      <c r="M40" s="68">
        <v>1.5</v>
      </c>
      <c r="N40" s="70">
        <f t="shared" si="1"/>
        <v>10</v>
      </c>
      <c r="O40" s="68">
        <v>4.5</v>
      </c>
      <c r="P40" s="68">
        <v>16</v>
      </c>
      <c r="Q40" s="68">
        <f>28.41-7.78</f>
        <v>20.63</v>
      </c>
      <c r="R40" s="70">
        <f>24.98-7.78</f>
        <v>17.2</v>
      </c>
      <c r="S40" s="70">
        <f>22.54-3.74</f>
        <v>18.799999999999997</v>
      </c>
      <c r="T40" s="71">
        <v>10</v>
      </c>
      <c r="U40" s="71">
        <v>6.66</v>
      </c>
      <c r="V40" s="71">
        <v>15</v>
      </c>
    </row>
    <row r="41" spans="1:22" x14ac:dyDescent="0.25">
      <c r="A41" s="68" t="s">
        <v>3128</v>
      </c>
      <c r="B41" s="83"/>
      <c r="C41" s="68" t="s">
        <v>3179</v>
      </c>
      <c r="D41" s="69">
        <v>11</v>
      </c>
      <c r="E41" s="69">
        <v>35</v>
      </c>
      <c r="F41" s="68">
        <f>91*3</f>
        <v>273</v>
      </c>
      <c r="G41" s="68">
        <v>35</v>
      </c>
      <c r="H41" s="68">
        <v>22</v>
      </c>
      <c r="I41" s="68">
        <v>7</v>
      </c>
      <c r="J41" s="68">
        <v>2</v>
      </c>
      <c r="K41" s="68">
        <f t="shared" si="0"/>
        <v>14</v>
      </c>
      <c r="L41" s="68">
        <v>13.5</v>
      </c>
      <c r="M41" s="68">
        <v>1.5</v>
      </c>
      <c r="N41" s="70">
        <f t="shared" si="1"/>
        <v>9</v>
      </c>
      <c r="O41" s="68">
        <v>3.5</v>
      </c>
      <c r="P41" s="68">
        <v>20</v>
      </c>
      <c r="Q41" s="68">
        <f>23.85-3.74</f>
        <v>20.11</v>
      </c>
      <c r="R41" s="68">
        <f>23.11-3.74</f>
        <v>19.369999999999997</v>
      </c>
      <c r="S41" s="68">
        <v>8.66</v>
      </c>
      <c r="T41" s="71">
        <v>5.66</v>
      </c>
      <c r="U41" s="71">
        <v>4.71</v>
      </c>
      <c r="V41" s="71">
        <v>6</v>
      </c>
    </row>
    <row r="42" spans="1:22" x14ac:dyDescent="0.25">
      <c r="A42" s="68" t="s">
        <v>3128</v>
      </c>
      <c r="B42" s="83" t="s">
        <v>3180</v>
      </c>
      <c r="C42" s="68" t="s">
        <v>3181</v>
      </c>
      <c r="D42" s="69">
        <v>7</v>
      </c>
      <c r="E42" s="69">
        <v>35</v>
      </c>
      <c r="F42" s="68">
        <f>156*3</f>
        <v>468</v>
      </c>
      <c r="G42" s="68">
        <v>48</v>
      </c>
      <c r="H42" s="68">
        <v>32</v>
      </c>
      <c r="I42" s="68">
        <v>6</v>
      </c>
      <c r="J42" s="68">
        <v>3</v>
      </c>
      <c r="K42" s="68">
        <f t="shared" si="0"/>
        <v>18</v>
      </c>
      <c r="L42" s="68">
        <v>17</v>
      </c>
      <c r="M42" s="68">
        <v>1.5</v>
      </c>
      <c r="N42" s="70">
        <f t="shared" si="1"/>
        <v>11.333333333333334</v>
      </c>
      <c r="O42" s="68">
        <v>6.5</v>
      </c>
      <c r="P42" s="68">
        <v>26</v>
      </c>
      <c r="Q42" s="68">
        <f>98.78-3.74</f>
        <v>95.04</v>
      </c>
      <c r="R42" s="68">
        <f>50.97-3.74</f>
        <v>47.23</v>
      </c>
      <c r="S42" s="68">
        <f>69.01-3.74</f>
        <v>65.27000000000001</v>
      </c>
      <c r="T42" s="71">
        <v>28.65</v>
      </c>
      <c r="U42" s="71">
        <v>19.510000000000002</v>
      </c>
      <c r="V42" s="71">
        <v>27</v>
      </c>
    </row>
    <row r="43" spans="1:22" x14ac:dyDescent="0.25">
      <c r="A43" s="68" t="s">
        <v>3128</v>
      </c>
      <c r="B43" s="83"/>
      <c r="C43" s="68" t="s">
        <v>3182</v>
      </c>
      <c r="D43" s="69">
        <v>9</v>
      </c>
      <c r="E43" s="69">
        <v>35</v>
      </c>
      <c r="F43" s="68">
        <f>257*3</f>
        <v>771</v>
      </c>
      <c r="G43" s="68">
        <v>48</v>
      </c>
      <c r="H43" s="68">
        <v>34</v>
      </c>
      <c r="I43" s="68">
        <v>6.5</v>
      </c>
      <c r="J43" s="68">
        <v>3</v>
      </c>
      <c r="K43" s="68">
        <f t="shared" si="0"/>
        <v>19.5</v>
      </c>
      <c r="L43" s="68">
        <v>16.5</v>
      </c>
      <c r="M43" s="68">
        <v>1.5</v>
      </c>
      <c r="N43" s="70">
        <f t="shared" si="1"/>
        <v>11</v>
      </c>
      <c r="O43" s="68">
        <v>8</v>
      </c>
      <c r="P43" s="68">
        <v>38</v>
      </c>
      <c r="Q43" s="68">
        <f>127.88-3.74</f>
        <v>124.14</v>
      </c>
      <c r="R43" s="68">
        <f>83.69-3.74</f>
        <v>79.95</v>
      </c>
      <c r="S43" s="68">
        <f>35.03-3.74</f>
        <v>31.29</v>
      </c>
      <c r="T43" s="71">
        <v>15.59</v>
      </c>
      <c r="U43" s="71">
        <v>8.5</v>
      </c>
      <c r="V43" s="71">
        <v>12</v>
      </c>
    </row>
    <row r="44" spans="1:22" x14ac:dyDescent="0.25">
      <c r="A44" s="68" t="s">
        <v>3128</v>
      </c>
      <c r="B44" s="83"/>
      <c r="C44" s="68" t="s">
        <v>3183</v>
      </c>
      <c r="D44" s="69">
        <v>7</v>
      </c>
      <c r="E44" s="69">
        <v>35</v>
      </c>
      <c r="F44" s="68">
        <f>161*3</f>
        <v>483</v>
      </c>
      <c r="G44" s="68">
        <v>51</v>
      </c>
      <c r="H44" s="68">
        <v>31</v>
      </c>
      <c r="I44" s="68">
        <v>6.5</v>
      </c>
      <c r="J44" s="68">
        <v>3</v>
      </c>
      <c r="K44" s="68">
        <f t="shared" si="0"/>
        <v>19.5</v>
      </c>
      <c r="L44" s="68">
        <v>18</v>
      </c>
      <c r="M44" s="68">
        <v>1.5</v>
      </c>
      <c r="N44" s="70">
        <f t="shared" si="1"/>
        <v>12</v>
      </c>
      <c r="O44" s="68">
        <v>6</v>
      </c>
      <c r="P44" s="68">
        <v>31</v>
      </c>
      <c r="Q44" s="68">
        <f>130.13-3.74</f>
        <v>126.39</v>
      </c>
      <c r="R44" s="70">
        <f>63.44-3.74</f>
        <v>59.699999999999996</v>
      </c>
      <c r="S44" s="68">
        <f>75.64</f>
        <v>75.64</v>
      </c>
      <c r="T44" s="71">
        <v>29.450000000000003</v>
      </c>
      <c r="U44" s="71">
        <v>17.190000000000001</v>
      </c>
      <c r="V44" s="71">
        <v>33</v>
      </c>
    </row>
    <row r="45" spans="1:22" x14ac:dyDescent="0.25">
      <c r="A45" s="68" t="s">
        <v>3128</v>
      </c>
      <c r="B45" s="83" t="s">
        <v>3184</v>
      </c>
      <c r="C45" s="68" t="s">
        <v>3185</v>
      </c>
      <c r="D45" s="69">
        <v>7</v>
      </c>
      <c r="E45" s="69">
        <v>39</v>
      </c>
      <c r="F45" s="68">
        <f>172*3</f>
        <v>516</v>
      </c>
      <c r="G45" s="68">
        <v>59</v>
      </c>
      <c r="H45" s="68">
        <v>34</v>
      </c>
      <c r="I45" s="68">
        <v>8</v>
      </c>
      <c r="J45" s="68">
        <v>3.5</v>
      </c>
      <c r="K45" s="68">
        <f t="shared" si="0"/>
        <v>28</v>
      </c>
      <c r="L45" s="68">
        <v>25.5</v>
      </c>
      <c r="M45" s="68">
        <v>1.5</v>
      </c>
      <c r="N45" s="70">
        <f t="shared" si="1"/>
        <v>17</v>
      </c>
      <c r="O45" s="68">
        <v>3.5</v>
      </c>
      <c r="P45" s="68">
        <v>26</v>
      </c>
      <c r="Q45" s="68">
        <f>135.22-3.74</f>
        <v>131.47999999999999</v>
      </c>
      <c r="R45" s="68">
        <f>77.61-3.74</f>
        <v>73.87</v>
      </c>
      <c r="S45" s="70">
        <f>67.64-3.74</f>
        <v>63.9</v>
      </c>
      <c r="T45" s="71">
        <v>14.690000000000001</v>
      </c>
      <c r="U45" s="71">
        <v>8.68</v>
      </c>
      <c r="V45" s="71">
        <v>12</v>
      </c>
    </row>
    <row r="46" spans="1:22" x14ac:dyDescent="0.25">
      <c r="A46" s="68" t="s">
        <v>3128</v>
      </c>
      <c r="B46" s="83"/>
      <c r="C46" s="68" t="s">
        <v>3186</v>
      </c>
      <c r="D46" s="69">
        <v>7</v>
      </c>
      <c r="E46" s="69">
        <v>39</v>
      </c>
      <c r="F46" s="68">
        <v>669</v>
      </c>
      <c r="G46" s="68">
        <v>67</v>
      </c>
      <c r="H46" s="68">
        <v>31</v>
      </c>
      <c r="I46" s="68">
        <v>8</v>
      </c>
      <c r="J46" s="68">
        <v>3.5</v>
      </c>
      <c r="K46" s="68">
        <f t="shared" si="0"/>
        <v>28</v>
      </c>
      <c r="L46" s="68">
        <v>21</v>
      </c>
      <c r="M46" s="68">
        <v>2</v>
      </c>
      <c r="N46" s="70">
        <f t="shared" si="1"/>
        <v>10.5</v>
      </c>
      <c r="O46" s="68">
        <v>3.5</v>
      </c>
      <c r="P46" s="68">
        <v>30</v>
      </c>
      <c r="Q46" s="68">
        <f>165.18-3.74</f>
        <v>161.44</v>
      </c>
      <c r="R46" s="68">
        <f>105.9-3.74</f>
        <v>102.16000000000001</v>
      </c>
      <c r="S46" s="68">
        <f>27.3-3.74</f>
        <v>23.560000000000002</v>
      </c>
      <c r="T46" s="71">
        <v>11.39</v>
      </c>
      <c r="U46" s="71">
        <v>6.4</v>
      </c>
      <c r="V46" s="71">
        <v>11</v>
      </c>
    </row>
    <row r="47" spans="1:22" x14ac:dyDescent="0.25">
      <c r="A47" s="68" t="s">
        <v>3128</v>
      </c>
      <c r="B47" s="83"/>
      <c r="C47" s="68" t="s">
        <v>3187</v>
      </c>
      <c r="D47" s="69">
        <v>7</v>
      </c>
      <c r="E47" s="69">
        <v>39</v>
      </c>
      <c r="F47" s="68">
        <f>145*3</f>
        <v>435</v>
      </c>
      <c r="G47" s="68">
        <v>65</v>
      </c>
      <c r="H47" s="68">
        <v>30</v>
      </c>
      <c r="I47" s="68">
        <v>7.5</v>
      </c>
      <c r="J47" s="68">
        <v>4</v>
      </c>
      <c r="K47" s="68">
        <f t="shared" si="0"/>
        <v>30</v>
      </c>
      <c r="L47" s="68">
        <v>23</v>
      </c>
      <c r="M47" s="68">
        <v>1.5</v>
      </c>
      <c r="N47" s="70">
        <f t="shared" si="1"/>
        <v>15.333333333333334</v>
      </c>
      <c r="O47" s="68">
        <v>4.5</v>
      </c>
      <c r="P47" s="68">
        <v>24</v>
      </c>
      <c r="Q47" s="68">
        <f>149.47-3.74</f>
        <v>145.72999999999999</v>
      </c>
      <c r="R47" s="68">
        <f>83.07-3.74</f>
        <v>79.33</v>
      </c>
      <c r="S47" s="68">
        <f>35.58-3.74</f>
        <v>31.839999999999996</v>
      </c>
      <c r="T47" s="71">
        <v>11.62</v>
      </c>
      <c r="U47" s="71">
        <v>6.0399999999999991</v>
      </c>
      <c r="V47" s="71">
        <v>15</v>
      </c>
    </row>
    <row r="48" spans="1:22" x14ac:dyDescent="0.25">
      <c r="A48" s="68" t="s">
        <v>3128</v>
      </c>
      <c r="B48" s="83" t="s">
        <v>3188</v>
      </c>
      <c r="C48" s="68" t="s">
        <v>3189</v>
      </c>
      <c r="D48" s="69">
        <v>7</v>
      </c>
      <c r="E48" s="69">
        <v>35</v>
      </c>
      <c r="F48" s="68">
        <f>160*3</f>
        <v>480</v>
      </c>
      <c r="G48" s="68">
        <v>64</v>
      </c>
      <c r="H48" s="68">
        <v>35</v>
      </c>
      <c r="I48" s="68">
        <v>8</v>
      </c>
      <c r="J48" s="68">
        <v>3.5</v>
      </c>
      <c r="K48" s="68">
        <f t="shared" si="0"/>
        <v>28</v>
      </c>
      <c r="L48" s="68">
        <v>22</v>
      </c>
      <c r="M48" s="68">
        <v>1.5</v>
      </c>
      <c r="N48" s="70">
        <f t="shared" si="1"/>
        <v>14.666666666666666</v>
      </c>
      <c r="O48" s="68">
        <v>3.5</v>
      </c>
      <c r="P48" s="68">
        <v>29</v>
      </c>
      <c r="Q48" s="68">
        <f>144.41-3.74</f>
        <v>140.66999999999999</v>
      </c>
      <c r="R48" s="68">
        <f>98.35-3.74</f>
        <v>94.61</v>
      </c>
      <c r="S48" s="68">
        <f>16.02-3.74</f>
        <v>12.28</v>
      </c>
      <c r="T48" s="71">
        <v>7.51</v>
      </c>
      <c r="U48" s="71">
        <v>4.18</v>
      </c>
      <c r="V48" s="71">
        <v>11</v>
      </c>
    </row>
    <row r="49" spans="1:22" x14ac:dyDescent="0.25">
      <c r="A49" s="68" t="s">
        <v>3128</v>
      </c>
      <c r="B49" s="83"/>
      <c r="C49" s="68" t="s">
        <v>3190</v>
      </c>
      <c r="D49" s="69">
        <v>9</v>
      </c>
      <c r="E49" s="69">
        <v>35</v>
      </c>
      <c r="F49" s="68">
        <v>423</v>
      </c>
      <c r="G49" s="68">
        <v>63</v>
      </c>
      <c r="H49" s="68">
        <v>26</v>
      </c>
      <c r="I49" s="68">
        <v>8</v>
      </c>
      <c r="J49" s="68">
        <v>3.5</v>
      </c>
      <c r="K49" s="68">
        <f t="shared" si="0"/>
        <v>28</v>
      </c>
      <c r="L49" s="68">
        <v>20.5</v>
      </c>
      <c r="M49" s="68">
        <v>1.5</v>
      </c>
      <c r="N49" s="70">
        <f t="shared" si="1"/>
        <v>13.666666666666666</v>
      </c>
      <c r="O49" s="68" t="s">
        <v>3141</v>
      </c>
      <c r="P49" s="68">
        <v>20</v>
      </c>
      <c r="Q49" s="68">
        <f>146-3.74</f>
        <v>142.26</v>
      </c>
      <c r="R49" s="68">
        <f>97.16-7.78</f>
        <v>89.38</v>
      </c>
      <c r="S49" s="72"/>
      <c r="T49" s="72"/>
      <c r="U49" s="72"/>
      <c r="V49" s="72"/>
    </row>
    <row r="50" spans="1:22" x14ac:dyDescent="0.25">
      <c r="A50" s="68" t="s">
        <v>3128</v>
      </c>
      <c r="B50" s="83"/>
      <c r="C50" s="68" t="s">
        <v>3191</v>
      </c>
      <c r="D50" s="69">
        <v>7</v>
      </c>
      <c r="E50" s="69">
        <v>35</v>
      </c>
      <c r="F50" s="68">
        <v>360</v>
      </c>
      <c r="G50" s="68">
        <v>49</v>
      </c>
      <c r="H50" s="68">
        <v>28</v>
      </c>
      <c r="I50" s="68">
        <v>7</v>
      </c>
      <c r="J50" s="68">
        <v>3.5</v>
      </c>
      <c r="K50" s="68">
        <f t="shared" si="0"/>
        <v>24.5</v>
      </c>
      <c r="L50" s="68">
        <v>19</v>
      </c>
      <c r="M50" s="68">
        <v>1.5</v>
      </c>
      <c r="N50" s="70">
        <f t="shared" si="1"/>
        <v>12.666666666666666</v>
      </c>
      <c r="O50" s="68" t="s">
        <v>3141</v>
      </c>
      <c r="P50" s="68">
        <v>16</v>
      </c>
      <c r="Q50" s="68">
        <f>93.33-3.74</f>
        <v>89.59</v>
      </c>
      <c r="R50" s="68">
        <f>65.18-3.74</f>
        <v>61.440000000000005</v>
      </c>
      <c r="S50" s="72"/>
      <c r="T50" s="72"/>
      <c r="U50" s="72"/>
      <c r="V50" s="72"/>
    </row>
    <row r="51" spans="1:22" x14ac:dyDescent="0.25">
      <c r="A51" s="68" t="s">
        <v>3128</v>
      </c>
      <c r="B51" s="83" t="s">
        <v>3192</v>
      </c>
      <c r="C51" s="68" t="s">
        <v>3193</v>
      </c>
      <c r="D51" s="69">
        <v>7</v>
      </c>
      <c r="E51" s="69">
        <v>42</v>
      </c>
      <c r="F51" s="68">
        <f>178*3</f>
        <v>534</v>
      </c>
      <c r="G51" s="68">
        <v>66</v>
      </c>
      <c r="H51" s="68">
        <v>34</v>
      </c>
      <c r="I51" s="68">
        <v>8.5</v>
      </c>
      <c r="J51" s="68">
        <v>3</v>
      </c>
      <c r="K51" s="68">
        <f t="shared" si="0"/>
        <v>25.5</v>
      </c>
      <c r="L51" s="68">
        <v>21.5</v>
      </c>
      <c r="M51" s="68">
        <v>2</v>
      </c>
      <c r="N51" s="70">
        <f t="shared" si="1"/>
        <v>10.75</v>
      </c>
      <c r="O51" s="68">
        <v>3</v>
      </c>
      <c r="P51" s="68">
        <v>29</v>
      </c>
      <c r="Q51" s="68">
        <f>168.96-3.74</f>
        <v>165.22</v>
      </c>
      <c r="R51" s="68">
        <f>117.73-3.74</f>
        <v>113.99000000000001</v>
      </c>
      <c r="S51" s="68">
        <f>48.5-3.74</f>
        <v>44.76</v>
      </c>
      <c r="T51" s="71">
        <v>19.11</v>
      </c>
      <c r="U51" s="71">
        <v>13.510000000000002</v>
      </c>
      <c r="V51" s="71">
        <v>35</v>
      </c>
    </row>
    <row r="52" spans="1:22" x14ac:dyDescent="0.25">
      <c r="A52" s="68" t="s">
        <v>3128</v>
      </c>
      <c r="B52" s="83"/>
      <c r="C52" s="68" t="s">
        <v>3194</v>
      </c>
      <c r="D52" s="69">
        <v>7</v>
      </c>
      <c r="E52" s="69">
        <v>42</v>
      </c>
      <c r="F52" s="68">
        <v>378</v>
      </c>
      <c r="G52" s="68">
        <v>52</v>
      </c>
      <c r="H52" s="68">
        <v>33</v>
      </c>
      <c r="I52" s="68">
        <v>9</v>
      </c>
      <c r="J52" s="68">
        <v>3</v>
      </c>
      <c r="K52" s="68">
        <f t="shared" si="0"/>
        <v>27</v>
      </c>
      <c r="L52" s="68">
        <v>21</v>
      </c>
      <c r="M52" s="68">
        <v>1.5</v>
      </c>
      <c r="N52" s="70">
        <f t="shared" si="1"/>
        <v>14</v>
      </c>
      <c r="O52" s="68">
        <v>3.5</v>
      </c>
      <c r="P52" s="68">
        <v>27</v>
      </c>
      <c r="Q52" s="68">
        <f>148.95-3.74</f>
        <v>145.20999999999998</v>
      </c>
      <c r="R52" s="68">
        <f>71.7-3.74</f>
        <v>67.960000000000008</v>
      </c>
      <c r="S52" s="68">
        <f>17.65-3.74</f>
        <v>13.909999999999998</v>
      </c>
      <c r="T52" s="71">
        <v>7.4499999999999993</v>
      </c>
      <c r="U52" s="71">
        <v>5.8900000000000006</v>
      </c>
      <c r="V52" s="71">
        <v>8</v>
      </c>
    </row>
    <row r="53" spans="1:22" x14ac:dyDescent="0.25">
      <c r="A53" s="68" t="s">
        <v>3128</v>
      </c>
      <c r="B53" s="83"/>
      <c r="C53" s="68" t="s">
        <v>3195</v>
      </c>
      <c r="D53" s="69">
        <v>7</v>
      </c>
      <c r="E53" s="69">
        <v>42</v>
      </c>
      <c r="F53" s="68">
        <f>124*3</f>
        <v>372</v>
      </c>
      <c r="G53" s="68">
        <v>65</v>
      </c>
      <c r="H53" s="68">
        <v>29</v>
      </c>
      <c r="I53" s="68">
        <v>8.5</v>
      </c>
      <c r="J53" s="68">
        <v>3.5</v>
      </c>
      <c r="K53" s="68">
        <f t="shared" si="0"/>
        <v>29.75</v>
      </c>
      <c r="L53" s="68">
        <v>24</v>
      </c>
      <c r="M53" s="68">
        <v>2</v>
      </c>
      <c r="N53" s="70">
        <f t="shared" si="1"/>
        <v>12</v>
      </c>
      <c r="O53" s="68">
        <v>2.5</v>
      </c>
      <c r="P53" s="68">
        <v>20</v>
      </c>
      <c r="Q53" s="68">
        <f>119.73-3.74</f>
        <v>115.99000000000001</v>
      </c>
      <c r="R53" s="68">
        <f>86.86-3.74</f>
        <v>83.12</v>
      </c>
      <c r="S53" s="68">
        <v>4.45</v>
      </c>
      <c r="T53" s="71">
        <v>1.4500000000000002</v>
      </c>
      <c r="U53" s="71">
        <v>1.0499999999999998</v>
      </c>
      <c r="V53" s="71">
        <v>5</v>
      </c>
    </row>
    <row r="54" spans="1:22" x14ac:dyDescent="0.25">
      <c r="A54" s="68" t="s">
        <v>3128</v>
      </c>
      <c r="B54" s="83" t="s">
        <v>3196</v>
      </c>
      <c r="C54" s="68" t="s">
        <v>3197</v>
      </c>
      <c r="D54" s="69">
        <v>11</v>
      </c>
      <c r="E54" s="69">
        <v>42</v>
      </c>
      <c r="F54" s="68">
        <f>155*3</f>
        <v>465</v>
      </c>
      <c r="G54" s="68">
        <v>75</v>
      </c>
      <c r="H54" s="68">
        <v>43</v>
      </c>
      <c r="I54" s="68">
        <v>8</v>
      </c>
      <c r="J54" s="68">
        <v>3.5</v>
      </c>
      <c r="K54" s="68">
        <f t="shared" si="0"/>
        <v>28</v>
      </c>
      <c r="L54" s="68">
        <v>26.5</v>
      </c>
      <c r="M54" s="68">
        <v>2</v>
      </c>
      <c r="N54" s="70">
        <f t="shared" si="1"/>
        <v>13.25</v>
      </c>
      <c r="O54" s="68" t="s">
        <v>3141</v>
      </c>
      <c r="P54" s="68">
        <v>27</v>
      </c>
      <c r="Q54" s="68">
        <f>181.83-3.74</f>
        <v>178.09</v>
      </c>
      <c r="R54" s="68">
        <f>84.26-3.74</f>
        <v>80.52000000000001</v>
      </c>
      <c r="S54" s="72"/>
      <c r="T54" s="72"/>
      <c r="U54" s="72"/>
      <c r="V54" s="72"/>
    </row>
    <row r="55" spans="1:22" x14ac:dyDescent="0.25">
      <c r="A55" s="68" t="s">
        <v>3128</v>
      </c>
      <c r="B55" s="83"/>
      <c r="C55" s="68" t="s">
        <v>3198</v>
      </c>
      <c r="D55" s="69">
        <v>7</v>
      </c>
      <c r="E55" s="69">
        <v>42</v>
      </c>
      <c r="F55" s="68">
        <f>150*3</f>
        <v>450</v>
      </c>
      <c r="G55" s="68">
        <v>57</v>
      </c>
      <c r="H55" s="68">
        <v>37</v>
      </c>
      <c r="I55" s="68">
        <v>7</v>
      </c>
      <c r="J55" s="68">
        <v>3</v>
      </c>
      <c r="K55" s="68">
        <f t="shared" si="0"/>
        <v>21</v>
      </c>
      <c r="L55" s="68">
        <v>25</v>
      </c>
      <c r="M55" s="68">
        <v>1.5</v>
      </c>
      <c r="N55" s="70">
        <f t="shared" si="1"/>
        <v>16.666666666666668</v>
      </c>
      <c r="O55" s="68" t="s">
        <v>3141</v>
      </c>
      <c r="P55" s="68">
        <v>17</v>
      </c>
      <c r="Q55" s="70">
        <f>76.18-7.78</f>
        <v>68.400000000000006</v>
      </c>
      <c r="R55" s="68">
        <f>60.35-7.78</f>
        <v>52.57</v>
      </c>
      <c r="S55" s="72"/>
      <c r="T55" s="72"/>
      <c r="U55" s="72"/>
      <c r="V55" s="72"/>
    </row>
    <row r="56" spans="1:22" x14ac:dyDescent="0.25">
      <c r="A56" s="68" t="s">
        <v>3128</v>
      </c>
      <c r="B56" s="83"/>
      <c r="C56" s="68" t="s">
        <v>3199</v>
      </c>
      <c r="D56" s="69">
        <v>7</v>
      </c>
      <c r="E56" s="69">
        <v>42</v>
      </c>
      <c r="F56" s="68">
        <f>268*3</f>
        <v>804</v>
      </c>
      <c r="G56" s="68">
        <v>74</v>
      </c>
      <c r="H56" s="68">
        <v>38</v>
      </c>
      <c r="I56" s="68">
        <v>9</v>
      </c>
      <c r="J56" s="68">
        <v>3</v>
      </c>
      <c r="K56" s="68">
        <f t="shared" si="0"/>
        <v>27</v>
      </c>
      <c r="L56" s="68">
        <v>26</v>
      </c>
      <c r="M56" s="68">
        <v>1.5</v>
      </c>
      <c r="N56" s="70">
        <f t="shared" si="1"/>
        <v>17.333333333333332</v>
      </c>
      <c r="O56" s="68" t="s">
        <v>3141</v>
      </c>
      <c r="P56" s="68">
        <v>31</v>
      </c>
      <c r="Q56" s="68">
        <f>288.09-3.74</f>
        <v>284.34999999999997</v>
      </c>
      <c r="R56" s="68">
        <f>105.39-3.74</f>
        <v>101.65</v>
      </c>
      <c r="S56" s="72"/>
      <c r="T56" s="72"/>
      <c r="U56" s="72"/>
      <c r="V56" s="72"/>
    </row>
    <row r="57" spans="1:22" x14ac:dyDescent="0.25">
      <c r="A57" s="68" t="s">
        <v>3128</v>
      </c>
      <c r="B57" s="83" t="s">
        <v>3200</v>
      </c>
      <c r="C57" s="68" t="s">
        <v>3201</v>
      </c>
      <c r="D57" s="69">
        <v>7</v>
      </c>
      <c r="E57" s="69">
        <v>42</v>
      </c>
      <c r="F57" s="68">
        <f>127*3</f>
        <v>381</v>
      </c>
      <c r="G57" s="68">
        <v>69</v>
      </c>
      <c r="H57" s="68">
        <v>41</v>
      </c>
      <c r="I57" s="68">
        <v>9.5</v>
      </c>
      <c r="J57" s="68">
        <v>4.5</v>
      </c>
      <c r="K57" s="68">
        <f t="shared" si="0"/>
        <v>42.75</v>
      </c>
      <c r="L57" s="68">
        <v>23</v>
      </c>
      <c r="M57" s="68">
        <v>2</v>
      </c>
      <c r="N57" s="70">
        <f t="shared" si="1"/>
        <v>11.5</v>
      </c>
      <c r="O57" s="68">
        <v>2.5</v>
      </c>
      <c r="P57" s="68">
        <v>19</v>
      </c>
      <c r="Q57" s="68">
        <f>135.8-3.74</f>
        <v>132.06</v>
      </c>
      <c r="R57" s="68">
        <f>98.19-3.74</f>
        <v>94.45</v>
      </c>
      <c r="S57" s="68">
        <f>48.42-3.74</f>
        <v>44.68</v>
      </c>
      <c r="T57" s="71">
        <v>20.73</v>
      </c>
      <c r="U57" s="71">
        <v>14.57</v>
      </c>
      <c r="V57" s="71">
        <v>31</v>
      </c>
    </row>
    <row r="58" spans="1:22" x14ac:dyDescent="0.25">
      <c r="A58" s="68" t="s">
        <v>3128</v>
      </c>
      <c r="B58" s="83"/>
      <c r="C58" s="68" t="s">
        <v>3202</v>
      </c>
      <c r="D58" s="69">
        <v>9</v>
      </c>
      <c r="E58" s="69">
        <v>42</v>
      </c>
      <c r="F58" s="68">
        <f>152*3</f>
        <v>456</v>
      </c>
      <c r="G58" s="68">
        <v>76</v>
      </c>
      <c r="H58" s="68">
        <v>39</v>
      </c>
      <c r="I58" s="68">
        <v>8.5</v>
      </c>
      <c r="J58" s="68">
        <v>3.5</v>
      </c>
      <c r="K58" s="68">
        <f t="shared" si="0"/>
        <v>29.75</v>
      </c>
      <c r="L58" s="68">
        <v>22</v>
      </c>
      <c r="M58" s="68">
        <v>2</v>
      </c>
      <c r="N58" s="70">
        <f t="shared" si="1"/>
        <v>11</v>
      </c>
      <c r="O58" s="68">
        <v>2.5</v>
      </c>
      <c r="P58" s="68">
        <v>18</v>
      </c>
      <c r="Q58" s="68">
        <f>121-3.74</f>
        <v>117.26</v>
      </c>
      <c r="R58" s="68">
        <f>79.73-3.74</f>
        <v>75.990000000000009</v>
      </c>
      <c r="S58" s="68">
        <f>34.45-3.74</f>
        <v>30.71</v>
      </c>
      <c r="T58" s="71">
        <v>14.75</v>
      </c>
      <c r="U58" s="71">
        <v>9.5500000000000007</v>
      </c>
      <c r="V58" s="71">
        <v>17</v>
      </c>
    </row>
    <row r="59" spans="1:22" x14ac:dyDescent="0.25">
      <c r="A59" s="68" t="s">
        <v>3128</v>
      </c>
      <c r="B59" s="83"/>
      <c r="C59" s="68" t="s">
        <v>3203</v>
      </c>
      <c r="D59" s="69">
        <v>11</v>
      </c>
      <c r="E59" s="69">
        <v>42</v>
      </c>
      <c r="F59" s="68">
        <f>131*3</f>
        <v>393</v>
      </c>
      <c r="G59" s="68">
        <v>68</v>
      </c>
      <c r="H59" s="68">
        <v>36</v>
      </c>
      <c r="I59" s="68">
        <v>9</v>
      </c>
      <c r="J59" s="68">
        <v>4.5</v>
      </c>
      <c r="K59" s="68">
        <f t="shared" si="0"/>
        <v>40.5</v>
      </c>
      <c r="L59" s="68">
        <v>26</v>
      </c>
      <c r="M59" s="68">
        <v>2</v>
      </c>
      <c r="N59" s="70">
        <f t="shared" si="1"/>
        <v>13</v>
      </c>
      <c r="O59" s="68">
        <v>2</v>
      </c>
      <c r="P59" s="68">
        <v>21</v>
      </c>
      <c r="Q59" s="68">
        <f>172.88-3.74</f>
        <v>169.14</v>
      </c>
      <c r="R59" s="68">
        <f>112.53-3.74</f>
        <v>108.79</v>
      </c>
      <c r="S59" s="68">
        <f>58.45-3.74</f>
        <v>54.71</v>
      </c>
      <c r="T59" s="71">
        <v>25.78</v>
      </c>
      <c r="U59" s="71">
        <v>18.79</v>
      </c>
      <c r="V59" s="71">
        <v>42</v>
      </c>
    </row>
    <row r="60" spans="1:22" x14ac:dyDescent="0.25">
      <c r="A60" s="68" t="s">
        <v>3128</v>
      </c>
      <c r="B60" s="83" t="s">
        <v>3204</v>
      </c>
      <c r="C60" s="68" t="s">
        <v>3205</v>
      </c>
      <c r="D60" s="69">
        <v>7</v>
      </c>
      <c r="E60" s="69">
        <v>42</v>
      </c>
      <c r="F60" s="68">
        <f>54*3</f>
        <v>162</v>
      </c>
      <c r="G60" s="68">
        <v>60</v>
      </c>
      <c r="H60" s="68">
        <v>27</v>
      </c>
      <c r="I60" s="68">
        <v>9</v>
      </c>
      <c r="J60" s="68">
        <v>3.5</v>
      </c>
      <c r="K60" s="68">
        <f t="shared" si="0"/>
        <v>31.5</v>
      </c>
      <c r="L60" s="68">
        <v>28</v>
      </c>
      <c r="M60" s="68">
        <v>2</v>
      </c>
      <c r="N60" s="70">
        <f t="shared" si="1"/>
        <v>14</v>
      </c>
      <c r="O60" s="68">
        <v>3</v>
      </c>
      <c r="P60" s="68">
        <v>17</v>
      </c>
      <c r="Q60" s="68">
        <f>46.08-3.74</f>
        <v>42.339999999999996</v>
      </c>
      <c r="R60" s="70">
        <f>36.64-3.74</f>
        <v>32.9</v>
      </c>
      <c r="S60" s="68">
        <f>24.52-3.74</f>
        <v>20.78</v>
      </c>
      <c r="T60" s="71">
        <v>10.16</v>
      </c>
      <c r="U60" s="71">
        <v>8.15</v>
      </c>
      <c r="V60" s="71">
        <v>12</v>
      </c>
    </row>
    <row r="61" spans="1:22" x14ac:dyDescent="0.25">
      <c r="A61" s="68" t="s">
        <v>3128</v>
      </c>
      <c r="B61" s="83"/>
      <c r="C61" s="68" t="s">
        <v>3206</v>
      </c>
      <c r="D61" s="69">
        <v>7</v>
      </c>
      <c r="E61" s="69">
        <v>42</v>
      </c>
      <c r="F61" s="68">
        <f>121*3</f>
        <v>363</v>
      </c>
      <c r="G61" s="68">
        <v>79</v>
      </c>
      <c r="H61" s="68">
        <v>30</v>
      </c>
      <c r="I61" s="68">
        <v>9.5</v>
      </c>
      <c r="J61" s="68">
        <v>3.5</v>
      </c>
      <c r="K61" s="68">
        <f t="shared" si="0"/>
        <v>33.25</v>
      </c>
      <c r="L61" s="68">
        <v>29</v>
      </c>
      <c r="M61" s="68">
        <v>2</v>
      </c>
      <c r="N61" s="70">
        <f t="shared" si="1"/>
        <v>14.5</v>
      </c>
      <c r="O61" s="68">
        <v>3.5</v>
      </c>
      <c r="P61" s="68">
        <v>16</v>
      </c>
      <c r="Q61" s="68">
        <f>201.7-3.74</f>
        <v>197.95999999999998</v>
      </c>
      <c r="R61" s="68">
        <f>100.82-3.74</f>
        <v>97.08</v>
      </c>
      <c r="S61" s="68">
        <f>96.29-3.74</f>
        <v>92.550000000000011</v>
      </c>
      <c r="T61" s="71">
        <v>37.79</v>
      </c>
      <c r="U61" s="71">
        <v>24.81</v>
      </c>
      <c r="V61" s="71">
        <v>36</v>
      </c>
    </row>
    <row r="62" spans="1:22" x14ac:dyDescent="0.25">
      <c r="A62" s="68" t="s">
        <v>3128</v>
      </c>
      <c r="B62" s="83"/>
      <c r="C62" s="68" t="s">
        <v>3207</v>
      </c>
      <c r="D62" s="69">
        <v>7</v>
      </c>
      <c r="E62" s="69">
        <v>42</v>
      </c>
      <c r="F62" s="68">
        <v>333</v>
      </c>
      <c r="G62" s="68">
        <v>64</v>
      </c>
      <c r="H62" s="68">
        <v>28</v>
      </c>
      <c r="I62" s="68">
        <v>8.5</v>
      </c>
      <c r="J62" s="68">
        <v>4</v>
      </c>
      <c r="K62" s="68">
        <f t="shared" si="0"/>
        <v>34</v>
      </c>
      <c r="L62" s="68">
        <v>23</v>
      </c>
      <c r="M62" s="68">
        <v>1.5</v>
      </c>
      <c r="N62" s="70">
        <f t="shared" si="1"/>
        <v>15.333333333333334</v>
      </c>
      <c r="O62" s="68">
        <v>3.5</v>
      </c>
      <c r="P62" s="68">
        <v>19</v>
      </c>
      <c r="Q62" s="68">
        <f>170.07-7.78</f>
        <v>162.29</v>
      </c>
      <c r="R62" s="68">
        <f>93.21-7.78</f>
        <v>85.429999999999993</v>
      </c>
      <c r="S62" s="68">
        <f>44.66-7.78</f>
        <v>36.879999999999995</v>
      </c>
      <c r="T62" s="71">
        <v>15.91</v>
      </c>
      <c r="U62" s="71">
        <v>11.18</v>
      </c>
      <c r="V62" s="71">
        <v>12</v>
      </c>
    </row>
  </sheetData>
  <mergeCells count="24">
    <mergeCell ref="B24:B26"/>
    <mergeCell ref="A1:A2"/>
    <mergeCell ref="B1:B2"/>
    <mergeCell ref="C1:C2"/>
    <mergeCell ref="D1:V1"/>
    <mergeCell ref="B3:B5"/>
    <mergeCell ref="B6:B8"/>
    <mergeCell ref="B9:B11"/>
    <mergeCell ref="B12:B14"/>
    <mergeCell ref="B15:B17"/>
    <mergeCell ref="B18:B20"/>
    <mergeCell ref="B21:B23"/>
    <mergeCell ref="B60:B62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zoomScale="80" zoomScaleNormal="80" workbookViewId="0">
      <selection activeCell="Q12" sqref="Q12"/>
    </sheetView>
  </sheetViews>
  <sheetFormatPr defaultRowHeight="15" x14ac:dyDescent="0.25"/>
  <cols>
    <col min="2" max="2" width="14" bestFit="1" customWidth="1"/>
  </cols>
  <sheetData>
    <row r="2" spans="2:2" x14ac:dyDescent="0.25">
      <c r="B2" t="s">
        <v>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4"/>
  <sheetViews>
    <sheetView zoomScale="90" zoomScaleNormal="90" workbookViewId="0">
      <pane ySplit="1" topLeftCell="A542" activePane="bottomLeft" state="frozen"/>
      <selection pane="bottomLeft" activeCell="E549" sqref="E549"/>
    </sheetView>
  </sheetViews>
  <sheetFormatPr defaultRowHeight="15" x14ac:dyDescent="0.25"/>
  <cols>
    <col min="1" max="1" width="28.140625" style="3" bestFit="1" customWidth="1"/>
    <col min="2" max="2" width="14" style="17" bestFit="1" customWidth="1"/>
    <col min="3" max="3" width="11.85546875" style="1" bestFit="1" customWidth="1"/>
    <col min="4" max="4" width="10.140625" style="1" customWidth="1"/>
    <col min="5" max="5" width="20.7109375" style="1" customWidth="1"/>
    <col min="6" max="6" width="39.28515625" customWidth="1"/>
  </cols>
  <sheetData>
    <row r="1" spans="1:6" s="15" customFormat="1" x14ac:dyDescent="0.25">
      <c r="A1" s="15" t="s">
        <v>377</v>
      </c>
      <c r="B1" s="15" t="s">
        <v>1162</v>
      </c>
      <c r="C1" s="15" t="s">
        <v>1</v>
      </c>
      <c r="D1" s="15" t="s">
        <v>2</v>
      </c>
      <c r="E1" s="15" t="s">
        <v>794</v>
      </c>
      <c r="F1" s="15" t="s">
        <v>1174</v>
      </c>
    </row>
    <row r="2" spans="1:6" ht="16.5" customHeight="1" x14ac:dyDescent="0.25">
      <c r="A2" s="3" t="s">
        <v>3</v>
      </c>
      <c r="B2" s="17" t="s">
        <v>1164</v>
      </c>
      <c r="C2" s="1" t="s">
        <v>1260</v>
      </c>
      <c r="D2" s="1">
        <v>2017</v>
      </c>
      <c r="E2" s="47" t="s">
        <v>2259</v>
      </c>
      <c r="F2" s="36"/>
    </row>
    <row r="3" spans="1:6" x14ac:dyDescent="0.25">
      <c r="A3" s="3" t="s">
        <v>4</v>
      </c>
      <c r="B3" s="17" t="s">
        <v>1164</v>
      </c>
      <c r="C3" s="1" t="s">
        <v>1260</v>
      </c>
      <c r="D3" s="1">
        <v>2017</v>
      </c>
      <c r="E3" s="1" t="s">
        <v>2260</v>
      </c>
      <c r="F3" s="1"/>
    </row>
    <row r="4" spans="1:6" x14ac:dyDescent="0.25">
      <c r="A4" s="3" t="s">
        <v>5</v>
      </c>
      <c r="B4" s="17" t="s">
        <v>1164</v>
      </c>
      <c r="C4" s="1" t="s">
        <v>1260</v>
      </c>
      <c r="D4" s="1">
        <v>2017</v>
      </c>
      <c r="E4" s="1" t="s">
        <v>2261</v>
      </c>
    </row>
    <row r="5" spans="1:6" x14ac:dyDescent="0.25">
      <c r="A5" s="3" t="s">
        <v>6</v>
      </c>
      <c r="B5" s="17" t="s">
        <v>1164</v>
      </c>
      <c r="C5" s="1" t="s">
        <v>1260</v>
      </c>
      <c r="D5" s="1">
        <v>2017</v>
      </c>
      <c r="E5" s="46" t="s">
        <v>1270</v>
      </c>
    </row>
    <row r="6" spans="1:6" x14ac:dyDescent="0.25">
      <c r="A6" s="3" t="s">
        <v>6</v>
      </c>
      <c r="B6" s="17" t="s">
        <v>1164</v>
      </c>
      <c r="C6" s="1" t="s">
        <v>378</v>
      </c>
      <c r="D6" s="1">
        <v>2018</v>
      </c>
      <c r="E6" s="46" t="s">
        <v>1273</v>
      </c>
    </row>
    <row r="7" spans="1:6" x14ac:dyDescent="0.25">
      <c r="A7" s="3" t="s">
        <v>7</v>
      </c>
      <c r="B7" s="17" t="s">
        <v>1164</v>
      </c>
      <c r="C7" s="1" t="s">
        <v>1260</v>
      </c>
      <c r="D7" s="1">
        <v>2017</v>
      </c>
      <c r="E7" s="1" t="s">
        <v>1271</v>
      </c>
    </row>
    <row r="8" spans="1:6" x14ac:dyDescent="0.25">
      <c r="A8" s="3" t="s">
        <v>7</v>
      </c>
      <c r="B8" s="17" t="s">
        <v>1164</v>
      </c>
      <c r="C8" s="1" t="s">
        <v>378</v>
      </c>
      <c r="D8" s="1">
        <v>2018</v>
      </c>
      <c r="E8" s="1" t="s">
        <v>1274</v>
      </c>
    </row>
    <row r="9" spans="1:6" x14ac:dyDescent="0.25">
      <c r="A9" s="3" t="s">
        <v>8</v>
      </c>
      <c r="B9" s="17" t="s">
        <v>1164</v>
      </c>
      <c r="C9" s="1" t="s">
        <v>1260</v>
      </c>
      <c r="D9" s="1">
        <v>2017</v>
      </c>
      <c r="E9" s="1" t="s">
        <v>2262</v>
      </c>
    </row>
    <row r="10" spans="1:6" x14ac:dyDescent="0.25">
      <c r="A10" s="3" t="s">
        <v>9</v>
      </c>
      <c r="B10" s="17" t="s">
        <v>1164</v>
      </c>
      <c r="C10" s="1" t="s">
        <v>1260</v>
      </c>
      <c r="D10" s="1">
        <v>2017</v>
      </c>
      <c r="E10" s="1" t="s">
        <v>2263</v>
      </c>
    </row>
    <row r="11" spans="1:6" x14ac:dyDescent="0.25">
      <c r="A11" s="3" t="s">
        <v>10</v>
      </c>
      <c r="B11" s="17" t="s">
        <v>1164</v>
      </c>
      <c r="C11" s="1" t="s">
        <v>1260</v>
      </c>
      <c r="D11" s="1">
        <v>2017</v>
      </c>
      <c r="E11" s="1" t="s">
        <v>2264</v>
      </c>
    </row>
    <row r="12" spans="1:6" x14ac:dyDescent="0.25">
      <c r="A12" s="3" t="s">
        <v>11</v>
      </c>
      <c r="B12" s="17" t="s">
        <v>1164</v>
      </c>
      <c r="C12" s="1" t="s">
        <v>1260</v>
      </c>
      <c r="D12" s="1">
        <v>2017</v>
      </c>
      <c r="E12" s="1" t="s">
        <v>2265</v>
      </c>
    </row>
    <row r="13" spans="1:6" x14ac:dyDescent="0.25">
      <c r="A13" s="3" t="s">
        <v>12</v>
      </c>
      <c r="B13" s="17" t="s">
        <v>1164</v>
      </c>
      <c r="C13" s="1" t="s">
        <v>1260</v>
      </c>
      <c r="D13" s="1">
        <v>2017</v>
      </c>
      <c r="E13" s="1" t="s">
        <v>2266</v>
      </c>
    </row>
    <row r="14" spans="1:6" x14ac:dyDescent="0.25">
      <c r="A14" s="3" t="s">
        <v>13</v>
      </c>
      <c r="B14" s="17" t="s">
        <v>1164</v>
      </c>
      <c r="C14" s="1" t="s">
        <v>378</v>
      </c>
      <c r="D14" s="1">
        <v>2018</v>
      </c>
      <c r="E14" s="1" t="s">
        <v>2267</v>
      </c>
    </row>
    <row r="15" spans="1:6" x14ac:dyDescent="0.25">
      <c r="A15" s="3" t="s">
        <v>14</v>
      </c>
      <c r="B15" s="17" t="s">
        <v>1164</v>
      </c>
      <c r="C15" s="1" t="s">
        <v>378</v>
      </c>
      <c r="D15" s="1">
        <v>2018</v>
      </c>
      <c r="E15" s="1" t="s">
        <v>2268</v>
      </c>
    </row>
    <row r="16" spans="1:6" x14ac:dyDescent="0.25">
      <c r="A16" s="3" t="s">
        <v>15</v>
      </c>
      <c r="B16" s="17" t="s">
        <v>1164</v>
      </c>
      <c r="C16" s="1" t="s">
        <v>1260</v>
      </c>
      <c r="D16" s="1">
        <v>2017</v>
      </c>
      <c r="E16" s="1" t="s">
        <v>2269</v>
      </c>
    </row>
    <row r="17" spans="1:5" x14ac:dyDescent="0.25">
      <c r="A17" s="3" t="s">
        <v>16</v>
      </c>
      <c r="B17" s="17" t="s">
        <v>1164</v>
      </c>
      <c r="C17" s="1" t="s">
        <v>1260</v>
      </c>
      <c r="D17" s="1">
        <v>2017</v>
      </c>
      <c r="E17" s="1" t="s">
        <v>2270</v>
      </c>
    </row>
    <row r="18" spans="1:5" x14ac:dyDescent="0.25">
      <c r="A18" s="3" t="s">
        <v>17</v>
      </c>
      <c r="B18" s="17" t="s">
        <v>1164</v>
      </c>
      <c r="C18" s="1" t="s">
        <v>378</v>
      </c>
      <c r="D18" s="1">
        <v>2018</v>
      </c>
      <c r="E18" s="1" t="s">
        <v>2271</v>
      </c>
    </row>
    <row r="19" spans="1:5" x14ac:dyDescent="0.25">
      <c r="A19" s="3" t="s">
        <v>18</v>
      </c>
      <c r="B19" s="17" t="s">
        <v>1164</v>
      </c>
      <c r="C19" s="1" t="s">
        <v>378</v>
      </c>
      <c r="D19" s="1">
        <v>2018</v>
      </c>
      <c r="E19" s="1" t="s">
        <v>2272</v>
      </c>
    </row>
    <row r="20" spans="1:5" x14ac:dyDescent="0.25">
      <c r="A20" s="3" t="s">
        <v>19</v>
      </c>
      <c r="B20" s="17" t="s">
        <v>1164</v>
      </c>
      <c r="C20" s="1" t="s">
        <v>378</v>
      </c>
      <c r="D20" s="1">
        <v>2018</v>
      </c>
      <c r="E20" s="1" t="s">
        <v>2273</v>
      </c>
    </row>
    <row r="21" spans="1:5" x14ac:dyDescent="0.25">
      <c r="A21" s="3" t="s">
        <v>20</v>
      </c>
      <c r="B21" s="17" t="s">
        <v>1164</v>
      </c>
      <c r="C21" s="1" t="s">
        <v>378</v>
      </c>
      <c r="D21" s="1">
        <v>2018</v>
      </c>
      <c r="E21" s="1" t="s">
        <v>2274</v>
      </c>
    </row>
    <row r="22" spans="1:5" x14ac:dyDescent="0.25">
      <c r="A22" s="3" t="s">
        <v>21</v>
      </c>
      <c r="B22" s="17" t="s">
        <v>1164</v>
      </c>
      <c r="C22" s="1" t="s">
        <v>378</v>
      </c>
      <c r="D22" s="1">
        <v>2018</v>
      </c>
      <c r="E22" s="1" t="s">
        <v>2275</v>
      </c>
    </row>
    <row r="23" spans="1:5" x14ac:dyDescent="0.25">
      <c r="A23" s="3" t="s">
        <v>22</v>
      </c>
      <c r="B23" s="17" t="s">
        <v>1164</v>
      </c>
      <c r="C23" s="1" t="s">
        <v>378</v>
      </c>
      <c r="D23" s="1">
        <v>2018</v>
      </c>
      <c r="E23" s="1" t="s">
        <v>2276</v>
      </c>
    </row>
    <row r="24" spans="1:5" x14ac:dyDescent="0.25">
      <c r="A24" s="3" t="s">
        <v>23</v>
      </c>
      <c r="B24" s="17" t="s">
        <v>1164</v>
      </c>
      <c r="C24" s="1" t="s">
        <v>378</v>
      </c>
      <c r="D24" s="1">
        <v>2018</v>
      </c>
      <c r="E24" s="1" t="s">
        <v>2277</v>
      </c>
    </row>
    <row r="25" spans="1:5" x14ac:dyDescent="0.25">
      <c r="A25" s="3" t="s">
        <v>24</v>
      </c>
      <c r="B25" s="17" t="s">
        <v>1164</v>
      </c>
      <c r="C25" s="1" t="s">
        <v>378</v>
      </c>
      <c r="D25" s="1">
        <v>2018</v>
      </c>
      <c r="E25" s="1" t="s">
        <v>2278</v>
      </c>
    </row>
    <row r="26" spans="1:5" x14ac:dyDescent="0.25">
      <c r="A26" s="3" t="s">
        <v>25</v>
      </c>
      <c r="B26" s="17" t="s">
        <v>1164</v>
      </c>
      <c r="C26" s="1" t="s">
        <v>1260</v>
      </c>
      <c r="D26" s="1">
        <v>2017</v>
      </c>
      <c r="E26" s="1" t="s">
        <v>2279</v>
      </c>
    </row>
    <row r="27" spans="1:5" x14ac:dyDescent="0.25">
      <c r="A27" s="3" t="s">
        <v>26</v>
      </c>
      <c r="B27" s="17" t="s">
        <v>1164</v>
      </c>
      <c r="C27" s="1" t="s">
        <v>1260</v>
      </c>
      <c r="D27" s="1">
        <v>2017</v>
      </c>
      <c r="E27" s="1" t="s">
        <v>2280</v>
      </c>
    </row>
    <row r="28" spans="1:5" x14ac:dyDescent="0.25">
      <c r="A28" s="3" t="s">
        <v>27</v>
      </c>
      <c r="B28" s="17" t="s">
        <v>1164</v>
      </c>
      <c r="C28" s="1" t="s">
        <v>378</v>
      </c>
      <c r="D28" s="1">
        <v>2018</v>
      </c>
      <c r="E28" s="1" t="s">
        <v>2281</v>
      </c>
    </row>
    <row r="29" spans="1:5" x14ac:dyDescent="0.25">
      <c r="A29" s="3" t="s">
        <v>28</v>
      </c>
      <c r="B29" s="17" t="s">
        <v>1164</v>
      </c>
      <c r="C29" s="1" t="s">
        <v>1260</v>
      </c>
      <c r="D29" s="1">
        <v>2017</v>
      </c>
      <c r="E29" s="1" t="s">
        <v>1272</v>
      </c>
    </row>
    <row r="30" spans="1:5" x14ac:dyDescent="0.25">
      <c r="A30" s="3" t="s">
        <v>28</v>
      </c>
      <c r="B30" s="17" t="s">
        <v>1164</v>
      </c>
      <c r="C30" s="1" t="s">
        <v>378</v>
      </c>
      <c r="D30" s="1">
        <v>2018</v>
      </c>
      <c r="E30" s="1" t="s">
        <v>1275</v>
      </c>
    </row>
    <row r="31" spans="1:5" s="3" customFormat="1" x14ac:dyDescent="0.25">
      <c r="A31" s="3" t="s">
        <v>29</v>
      </c>
      <c r="B31" s="17" t="s">
        <v>1164</v>
      </c>
      <c r="C31" s="17" t="s">
        <v>378</v>
      </c>
      <c r="D31" s="17">
        <v>2018</v>
      </c>
      <c r="E31" s="17" t="s">
        <v>2282</v>
      </c>
    </row>
    <row r="32" spans="1:5" x14ac:dyDescent="0.25">
      <c r="A32" s="3" t="s">
        <v>30</v>
      </c>
      <c r="B32" s="17" t="s">
        <v>1164</v>
      </c>
      <c r="C32" s="1" t="s">
        <v>378</v>
      </c>
      <c r="D32" s="1">
        <v>2018</v>
      </c>
      <c r="E32" s="1" t="s">
        <v>2283</v>
      </c>
    </row>
    <row r="33" spans="1:5" x14ac:dyDescent="0.25">
      <c r="A33" s="3" t="s">
        <v>31</v>
      </c>
      <c r="B33" s="17" t="s">
        <v>1164</v>
      </c>
      <c r="C33" s="1" t="s">
        <v>378</v>
      </c>
      <c r="D33" s="1">
        <v>2018</v>
      </c>
      <c r="E33" s="1" t="s">
        <v>2284</v>
      </c>
    </row>
    <row r="34" spans="1:5" x14ac:dyDescent="0.25">
      <c r="A34" s="3" t="s">
        <v>32</v>
      </c>
      <c r="B34" s="17" t="s">
        <v>1164</v>
      </c>
      <c r="C34" s="1" t="s">
        <v>378</v>
      </c>
      <c r="D34" s="1">
        <v>2018</v>
      </c>
      <c r="E34" s="1" t="s">
        <v>2285</v>
      </c>
    </row>
    <row r="35" spans="1:5" x14ac:dyDescent="0.25">
      <c r="A35" s="3" t="s">
        <v>33</v>
      </c>
      <c r="B35" s="17" t="s">
        <v>1164</v>
      </c>
      <c r="C35" s="1" t="s">
        <v>1260</v>
      </c>
      <c r="D35" s="1">
        <v>2017</v>
      </c>
      <c r="E35" s="1" t="s">
        <v>2286</v>
      </c>
    </row>
    <row r="36" spans="1:5" x14ac:dyDescent="0.25">
      <c r="A36" s="3" t="s">
        <v>34</v>
      </c>
      <c r="B36" s="17" t="s">
        <v>1164</v>
      </c>
      <c r="C36" s="1" t="s">
        <v>1260</v>
      </c>
      <c r="D36" s="1">
        <v>2017</v>
      </c>
      <c r="E36" s="1" t="s">
        <v>2287</v>
      </c>
    </row>
    <row r="37" spans="1:5" x14ac:dyDescent="0.25">
      <c r="A37" s="3" t="s">
        <v>35</v>
      </c>
      <c r="B37" s="17" t="s">
        <v>1164</v>
      </c>
      <c r="C37" s="1" t="s">
        <v>1260</v>
      </c>
      <c r="D37" s="1">
        <v>2017</v>
      </c>
      <c r="E37" s="1" t="s">
        <v>2288</v>
      </c>
    </row>
    <row r="38" spans="1:5" x14ac:dyDescent="0.25">
      <c r="A38" s="3" t="s">
        <v>36</v>
      </c>
      <c r="B38" s="17" t="s">
        <v>1164</v>
      </c>
      <c r="C38" s="1" t="s">
        <v>378</v>
      </c>
      <c r="D38" s="1">
        <v>2018</v>
      </c>
      <c r="E38" s="1" t="s">
        <v>2289</v>
      </c>
    </row>
    <row r="39" spans="1:5" x14ac:dyDescent="0.25">
      <c r="A39" s="3" t="s">
        <v>37</v>
      </c>
      <c r="B39" s="17" t="s">
        <v>1164</v>
      </c>
      <c r="C39" s="1" t="s">
        <v>378</v>
      </c>
      <c r="D39" s="1">
        <v>2018</v>
      </c>
      <c r="E39" s="1" t="s">
        <v>2290</v>
      </c>
    </row>
    <row r="40" spans="1:5" x14ac:dyDescent="0.25">
      <c r="A40" s="3" t="s">
        <v>38</v>
      </c>
      <c r="B40" s="17" t="s">
        <v>1164</v>
      </c>
      <c r="C40" s="1" t="s">
        <v>1260</v>
      </c>
      <c r="D40" s="1">
        <v>2017</v>
      </c>
      <c r="E40" s="1" t="s">
        <v>2291</v>
      </c>
    </row>
    <row r="41" spans="1:5" x14ac:dyDescent="0.25">
      <c r="A41" s="3" t="s">
        <v>39</v>
      </c>
      <c r="B41" s="17" t="s">
        <v>1164</v>
      </c>
      <c r="C41" s="1" t="s">
        <v>378</v>
      </c>
      <c r="D41" s="1">
        <v>2018</v>
      </c>
      <c r="E41" s="1" t="s">
        <v>2292</v>
      </c>
    </row>
    <row r="42" spans="1:5" x14ac:dyDescent="0.25">
      <c r="A42" s="3" t="s">
        <v>40</v>
      </c>
      <c r="B42" s="17" t="s">
        <v>1164</v>
      </c>
      <c r="C42" s="1" t="s">
        <v>378</v>
      </c>
      <c r="D42" s="1">
        <v>2018</v>
      </c>
      <c r="E42" s="1" t="s">
        <v>2293</v>
      </c>
    </row>
    <row r="43" spans="1:5" x14ac:dyDescent="0.25">
      <c r="A43" s="3" t="s">
        <v>41</v>
      </c>
      <c r="B43" s="17" t="s">
        <v>1164</v>
      </c>
      <c r="C43" s="1" t="s">
        <v>378</v>
      </c>
      <c r="D43" s="1">
        <v>2018</v>
      </c>
      <c r="E43" s="1" t="s">
        <v>2294</v>
      </c>
    </row>
    <row r="44" spans="1:5" x14ac:dyDescent="0.25">
      <c r="A44" s="3" t="s">
        <v>42</v>
      </c>
      <c r="B44" s="17" t="s">
        <v>1164</v>
      </c>
      <c r="C44" s="1" t="s">
        <v>378</v>
      </c>
      <c r="D44" s="1">
        <v>2018</v>
      </c>
      <c r="E44" s="1" t="s">
        <v>2295</v>
      </c>
    </row>
    <row r="45" spans="1:5" x14ac:dyDescent="0.25">
      <c r="A45" s="3" t="s">
        <v>43</v>
      </c>
      <c r="B45" s="17" t="s">
        <v>1164</v>
      </c>
      <c r="C45" s="1" t="s">
        <v>378</v>
      </c>
      <c r="D45" s="1">
        <v>2018</v>
      </c>
      <c r="E45" s="1" t="s">
        <v>2296</v>
      </c>
    </row>
    <row r="46" spans="1:5" x14ac:dyDescent="0.25">
      <c r="A46" s="3" t="s">
        <v>44</v>
      </c>
      <c r="B46" s="17" t="s">
        <v>1164</v>
      </c>
      <c r="C46" s="1" t="s">
        <v>378</v>
      </c>
      <c r="D46" s="1">
        <v>2018</v>
      </c>
      <c r="E46" s="1" t="s">
        <v>2297</v>
      </c>
    </row>
    <row r="47" spans="1:5" x14ac:dyDescent="0.25">
      <c r="A47" s="3" t="s">
        <v>45</v>
      </c>
      <c r="B47" s="17" t="s">
        <v>1164</v>
      </c>
      <c r="C47" s="1" t="s">
        <v>378</v>
      </c>
      <c r="D47" s="1">
        <v>2018</v>
      </c>
      <c r="E47" s="1" t="s">
        <v>2298</v>
      </c>
    </row>
    <row r="48" spans="1:5" x14ac:dyDescent="0.25">
      <c r="A48" s="3" t="s">
        <v>46</v>
      </c>
      <c r="B48" s="17" t="s">
        <v>1164</v>
      </c>
      <c r="C48" s="1" t="s">
        <v>378</v>
      </c>
      <c r="D48" s="1">
        <v>2018</v>
      </c>
      <c r="E48" s="1" t="s">
        <v>2299</v>
      </c>
    </row>
    <row r="49" spans="1:5" x14ac:dyDescent="0.25">
      <c r="A49" s="3" t="s">
        <v>47</v>
      </c>
      <c r="B49" s="17" t="s">
        <v>1164</v>
      </c>
      <c r="C49" s="1" t="s">
        <v>378</v>
      </c>
      <c r="D49" s="1">
        <v>2018</v>
      </c>
      <c r="E49" s="1" t="s">
        <v>2300</v>
      </c>
    </row>
    <row r="50" spans="1:5" x14ac:dyDescent="0.25">
      <c r="A50" s="3" t="s">
        <v>48</v>
      </c>
      <c r="B50" s="17" t="s">
        <v>1164</v>
      </c>
      <c r="C50" s="1" t="s">
        <v>378</v>
      </c>
      <c r="D50" s="1">
        <v>2018</v>
      </c>
      <c r="E50" s="1" t="s">
        <v>2301</v>
      </c>
    </row>
    <row r="51" spans="1:5" x14ac:dyDescent="0.25">
      <c r="A51" s="3" t="s">
        <v>49</v>
      </c>
      <c r="B51" s="17" t="s">
        <v>1164</v>
      </c>
      <c r="C51" s="1" t="s">
        <v>378</v>
      </c>
      <c r="D51" s="1">
        <v>2018</v>
      </c>
      <c r="E51" s="1" t="s">
        <v>2302</v>
      </c>
    </row>
    <row r="52" spans="1:5" x14ac:dyDescent="0.25">
      <c r="A52" s="3" t="s">
        <v>50</v>
      </c>
      <c r="B52" s="17" t="s">
        <v>1164</v>
      </c>
      <c r="C52" s="1" t="s">
        <v>378</v>
      </c>
      <c r="D52" s="1">
        <v>2018</v>
      </c>
      <c r="E52" s="1" t="s">
        <v>2303</v>
      </c>
    </row>
    <row r="53" spans="1:5" x14ac:dyDescent="0.25">
      <c r="A53" s="3" t="s">
        <v>51</v>
      </c>
      <c r="B53" s="17" t="s">
        <v>1164</v>
      </c>
      <c r="C53" s="1" t="s">
        <v>378</v>
      </c>
      <c r="D53" s="1">
        <v>2018</v>
      </c>
      <c r="E53" s="1" t="s">
        <v>2304</v>
      </c>
    </row>
    <row r="54" spans="1:5" x14ac:dyDescent="0.25">
      <c r="A54" s="3" t="s">
        <v>52</v>
      </c>
      <c r="B54" s="17" t="s">
        <v>1164</v>
      </c>
      <c r="C54" s="1" t="s">
        <v>378</v>
      </c>
      <c r="D54" s="1">
        <v>2018</v>
      </c>
      <c r="E54" s="1" t="s">
        <v>2305</v>
      </c>
    </row>
    <row r="55" spans="1:5" x14ac:dyDescent="0.25">
      <c r="A55" s="3" t="s">
        <v>53</v>
      </c>
      <c r="B55" s="17" t="s">
        <v>1164</v>
      </c>
      <c r="C55" s="1" t="s">
        <v>378</v>
      </c>
      <c r="D55" s="1">
        <v>2018</v>
      </c>
      <c r="E55" s="1" t="s">
        <v>2306</v>
      </c>
    </row>
    <row r="56" spans="1:5" x14ac:dyDescent="0.25">
      <c r="A56" s="3" t="s">
        <v>54</v>
      </c>
      <c r="B56" s="17" t="s">
        <v>1164</v>
      </c>
      <c r="C56" s="1" t="s">
        <v>1260</v>
      </c>
      <c r="D56" s="1">
        <v>2017</v>
      </c>
      <c r="E56" s="1" t="s">
        <v>2307</v>
      </c>
    </row>
    <row r="57" spans="1:5" x14ac:dyDescent="0.25">
      <c r="A57" s="3" t="s">
        <v>55</v>
      </c>
      <c r="B57" s="17" t="s">
        <v>1164</v>
      </c>
      <c r="C57" s="1" t="s">
        <v>1260</v>
      </c>
      <c r="D57" s="1">
        <v>2017</v>
      </c>
      <c r="E57" s="1" t="s">
        <v>2308</v>
      </c>
    </row>
    <row r="58" spans="1:5" x14ac:dyDescent="0.25">
      <c r="A58" s="3" t="s">
        <v>56</v>
      </c>
      <c r="B58" s="17" t="s">
        <v>1164</v>
      </c>
      <c r="C58" s="1" t="s">
        <v>1260</v>
      </c>
      <c r="D58" s="1">
        <v>2017</v>
      </c>
      <c r="E58" s="1" t="s">
        <v>2309</v>
      </c>
    </row>
    <row r="59" spans="1:5" x14ac:dyDescent="0.25">
      <c r="A59" s="3" t="s">
        <v>57</v>
      </c>
      <c r="B59" s="17" t="s">
        <v>1164</v>
      </c>
      <c r="C59" s="1" t="s">
        <v>378</v>
      </c>
      <c r="D59" s="1">
        <v>2018</v>
      </c>
      <c r="E59" s="1" t="s">
        <v>2310</v>
      </c>
    </row>
    <row r="60" spans="1:5" x14ac:dyDescent="0.25">
      <c r="A60" s="3" t="s">
        <v>58</v>
      </c>
      <c r="B60" s="17" t="s">
        <v>1164</v>
      </c>
      <c r="C60" s="1" t="s">
        <v>1260</v>
      </c>
      <c r="D60" s="1">
        <v>2017</v>
      </c>
      <c r="E60" s="1" t="s">
        <v>2311</v>
      </c>
    </row>
    <row r="61" spans="1:5" x14ac:dyDescent="0.25">
      <c r="A61" s="3" t="s">
        <v>59</v>
      </c>
      <c r="B61" s="17" t="s">
        <v>1164</v>
      </c>
      <c r="C61" s="1" t="s">
        <v>1260</v>
      </c>
      <c r="D61" s="1">
        <v>2017</v>
      </c>
      <c r="E61" s="1" t="s">
        <v>2312</v>
      </c>
    </row>
    <row r="62" spans="1:5" x14ac:dyDescent="0.25">
      <c r="A62" s="3" t="s">
        <v>60</v>
      </c>
      <c r="B62" s="17" t="s">
        <v>1164</v>
      </c>
      <c r="C62" s="1" t="s">
        <v>1260</v>
      </c>
      <c r="D62" s="1">
        <v>2017</v>
      </c>
      <c r="E62" s="1" t="s">
        <v>2313</v>
      </c>
    </row>
    <row r="63" spans="1:5" x14ac:dyDescent="0.25">
      <c r="A63" s="3" t="s">
        <v>61</v>
      </c>
      <c r="B63" s="17" t="s">
        <v>1164</v>
      </c>
      <c r="C63" s="1" t="s">
        <v>1260</v>
      </c>
      <c r="D63" s="1">
        <v>2017</v>
      </c>
      <c r="E63" s="1" t="s">
        <v>2314</v>
      </c>
    </row>
    <row r="64" spans="1:5" x14ac:dyDescent="0.25">
      <c r="A64" s="3" t="s">
        <v>62</v>
      </c>
      <c r="B64" s="17" t="s">
        <v>1164</v>
      </c>
      <c r="C64" s="1" t="s">
        <v>1260</v>
      </c>
      <c r="D64" s="1">
        <v>2017</v>
      </c>
      <c r="E64" s="1" t="s">
        <v>2315</v>
      </c>
    </row>
    <row r="65" spans="1:5" x14ac:dyDescent="0.25">
      <c r="A65" s="3" t="s">
        <v>63</v>
      </c>
      <c r="B65" s="17" t="s">
        <v>1164</v>
      </c>
      <c r="C65" s="1" t="s">
        <v>378</v>
      </c>
      <c r="D65" s="1">
        <v>2018</v>
      </c>
      <c r="E65" s="1" t="s">
        <v>2316</v>
      </c>
    </row>
    <row r="66" spans="1:5" x14ac:dyDescent="0.25">
      <c r="A66" s="3" t="s">
        <v>64</v>
      </c>
      <c r="B66" s="17" t="s">
        <v>1164</v>
      </c>
      <c r="C66" s="1" t="s">
        <v>1260</v>
      </c>
      <c r="D66" s="1">
        <v>2017</v>
      </c>
      <c r="E66" s="1" t="s">
        <v>2317</v>
      </c>
    </row>
    <row r="67" spans="1:5" x14ac:dyDescent="0.25">
      <c r="A67" s="3" t="s">
        <v>65</v>
      </c>
      <c r="B67" s="17" t="s">
        <v>1164</v>
      </c>
      <c r="C67" s="1" t="s">
        <v>378</v>
      </c>
      <c r="D67" s="1">
        <v>2018</v>
      </c>
      <c r="E67" s="1" t="s">
        <v>2318</v>
      </c>
    </row>
    <row r="68" spans="1:5" x14ac:dyDescent="0.25">
      <c r="A68" s="3" t="s">
        <v>66</v>
      </c>
      <c r="B68" s="17" t="s">
        <v>1164</v>
      </c>
      <c r="C68" s="1" t="s">
        <v>378</v>
      </c>
      <c r="D68" s="1">
        <v>2018</v>
      </c>
      <c r="E68" s="1" t="s">
        <v>2319</v>
      </c>
    </row>
    <row r="69" spans="1:5" x14ac:dyDescent="0.25">
      <c r="A69" s="3" t="s">
        <v>67</v>
      </c>
      <c r="B69" s="17" t="s">
        <v>1164</v>
      </c>
      <c r="C69" s="1" t="s">
        <v>378</v>
      </c>
      <c r="D69" s="1">
        <v>2018</v>
      </c>
      <c r="E69" s="1" t="s">
        <v>2320</v>
      </c>
    </row>
    <row r="70" spans="1:5" x14ac:dyDescent="0.25">
      <c r="A70" s="3" t="s">
        <v>68</v>
      </c>
      <c r="B70" s="17" t="s">
        <v>1164</v>
      </c>
      <c r="C70" s="1" t="s">
        <v>378</v>
      </c>
      <c r="D70" s="1">
        <v>2018</v>
      </c>
      <c r="E70" s="1" t="s">
        <v>2321</v>
      </c>
    </row>
    <row r="71" spans="1:5" x14ac:dyDescent="0.25">
      <c r="A71" s="3" t="s">
        <v>69</v>
      </c>
      <c r="B71" s="17" t="s">
        <v>1164</v>
      </c>
      <c r="C71" s="1" t="s">
        <v>378</v>
      </c>
      <c r="D71" s="1">
        <v>2018</v>
      </c>
      <c r="E71" s="1" t="s">
        <v>2322</v>
      </c>
    </row>
    <row r="72" spans="1:5" x14ac:dyDescent="0.25">
      <c r="A72" s="3" t="s">
        <v>70</v>
      </c>
      <c r="B72" s="17" t="s">
        <v>1164</v>
      </c>
      <c r="C72" s="1" t="s">
        <v>378</v>
      </c>
      <c r="D72" s="1">
        <v>2018</v>
      </c>
      <c r="E72" s="1" t="s">
        <v>2323</v>
      </c>
    </row>
    <row r="73" spans="1:5" x14ac:dyDescent="0.25">
      <c r="A73" s="3" t="s">
        <v>71</v>
      </c>
      <c r="B73" s="17" t="s">
        <v>1164</v>
      </c>
      <c r="C73" s="1" t="s">
        <v>378</v>
      </c>
      <c r="D73" s="1">
        <v>2018</v>
      </c>
      <c r="E73" s="1" t="s">
        <v>2324</v>
      </c>
    </row>
    <row r="74" spans="1:5" x14ac:dyDescent="0.25">
      <c r="A74" s="3" t="s">
        <v>72</v>
      </c>
      <c r="B74" s="17" t="s">
        <v>1164</v>
      </c>
      <c r="C74" s="1" t="s">
        <v>378</v>
      </c>
      <c r="D74" s="1">
        <v>2018</v>
      </c>
      <c r="E74" s="1" t="s">
        <v>2325</v>
      </c>
    </row>
    <row r="75" spans="1:5" x14ac:dyDescent="0.25">
      <c r="A75" s="3" t="s">
        <v>73</v>
      </c>
      <c r="B75" s="17" t="s">
        <v>1164</v>
      </c>
      <c r="C75" s="1" t="s">
        <v>378</v>
      </c>
      <c r="D75" s="1">
        <v>2018</v>
      </c>
      <c r="E75" s="1" t="s">
        <v>2326</v>
      </c>
    </row>
    <row r="76" spans="1:5" x14ac:dyDescent="0.25">
      <c r="A76" s="3" t="s">
        <v>74</v>
      </c>
      <c r="B76" s="17" t="s">
        <v>1164</v>
      </c>
      <c r="C76" s="1" t="s">
        <v>378</v>
      </c>
      <c r="D76" s="1">
        <v>2018</v>
      </c>
      <c r="E76" s="1" t="s">
        <v>2327</v>
      </c>
    </row>
    <row r="77" spans="1:5" x14ac:dyDescent="0.25">
      <c r="A77" s="3" t="s">
        <v>75</v>
      </c>
      <c r="B77" s="17" t="s">
        <v>1164</v>
      </c>
      <c r="C77" s="1" t="s">
        <v>378</v>
      </c>
      <c r="D77" s="1">
        <v>2018</v>
      </c>
      <c r="E77" s="1" t="s">
        <v>2328</v>
      </c>
    </row>
    <row r="78" spans="1:5" x14ac:dyDescent="0.25">
      <c r="A78" s="3" t="s">
        <v>76</v>
      </c>
      <c r="B78" s="17" t="s">
        <v>1164</v>
      </c>
      <c r="C78" s="1" t="s">
        <v>378</v>
      </c>
      <c r="D78" s="1">
        <v>2018</v>
      </c>
      <c r="E78" s="1" t="s">
        <v>2329</v>
      </c>
    </row>
    <row r="79" spans="1:5" x14ac:dyDescent="0.25">
      <c r="A79" s="3" t="s">
        <v>77</v>
      </c>
      <c r="B79" s="17" t="s">
        <v>1164</v>
      </c>
      <c r="C79" s="1" t="s">
        <v>378</v>
      </c>
      <c r="D79" s="1">
        <v>2018</v>
      </c>
      <c r="E79" s="1" t="s">
        <v>2330</v>
      </c>
    </row>
    <row r="80" spans="1:5" x14ac:dyDescent="0.25">
      <c r="A80" s="3" t="s">
        <v>78</v>
      </c>
      <c r="B80" s="17" t="s">
        <v>1164</v>
      </c>
      <c r="C80" s="1" t="s">
        <v>378</v>
      </c>
      <c r="D80" s="1">
        <v>2018</v>
      </c>
      <c r="E80" s="1" t="s">
        <v>2331</v>
      </c>
    </row>
    <row r="81" spans="1:5" x14ac:dyDescent="0.25">
      <c r="A81" s="3" t="s">
        <v>79</v>
      </c>
      <c r="B81" s="17" t="s">
        <v>1164</v>
      </c>
      <c r="C81" s="1" t="s">
        <v>1260</v>
      </c>
      <c r="D81" s="1">
        <v>2017</v>
      </c>
      <c r="E81" s="1" t="s">
        <v>2332</v>
      </c>
    </row>
    <row r="82" spans="1:5" x14ac:dyDescent="0.25">
      <c r="A82" s="3" t="s">
        <v>80</v>
      </c>
      <c r="B82" s="17" t="s">
        <v>1164</v>
      </c>
      <c r="C82" s="1" t="s">
        <v>1260</v>
      </c>
      <c r="D82" s="1">
        <v>2017</v>
      </c>
      <c r="E82" s="1" t="s">
        <v>2333</v>
      </c>
    </row>
    <row r="83" spans="1:5" x14ac:dyDescent="0.25">
      <c r="A83" s="3" t="s">
        <v>81</v>
      </c>
      <c r="B83" s="17" t="s">
        <v>1164</v>
      </c>
      <c r="C83" s="1" t="s">
        <v>378</v>
      </c>
      <c r="D83" s="1">
        <v>2018</v>
      </c>
      <c r="E83" s="1" t="s">
        <v>2334</v>
      </c>
    </row>
    <row r="84" spans="1:5" x14ac:dyDescent="0.25">
      <c r="A84" s="3" t="s">
        <v>82</v>
      </c>
      <c r="B84" s="17" t="s">
        <v>1164</v>
      </c>
      <c r="C84" s="1" t="s">
        <v>1260</v>
      </c>
      <c r="D84" s="1">
        <v>2017</v>
      </c>
      <c r="E84" s="1" t="s">
        <v>2335</v>
      </c>
    </row>
    <row r="85" spans="1:5" x14ac:dyDescent="0.25">
      <c r="A85" s="3" t="s">
        <v>83</v>
      </c>
      <c r="B85" s="17" t="s">
        <v>1164</v>
      </c>
      <c r="C85" s="1" t="s">
        <v>1260</v>
      </c>
      <c r="D85" s="1">
        <v>2017</v>
      </c>
      <c r="E85" s="1" t="s">
        <v>2336</v>
      </c>
    </row>
    <row r="86" spans="1:5" x14ac:dyDescent="0.25">
      <c r="A86" s="3" t="s">
        <v>84</v>
      </c>
      <c r="B86" s="17" t="s">
        <v>1164</v>
      </c>
      <c r="C86" s="1" t="s">
        <v>378</v>
      </c>
      <c r="D86" s="1">
        <v>2018</v>
      </c>
      <c r="E86" s="1" t="s">
        <v>2337</v>
      </c>
    </row>
    <row r="87" spans="1:5" x14ac:dyDescent="0.25">
      <c r="A87" s="3" t="s">
        <v>85</v>
      </c>
      <c r="B87" s="17" t="s">
        <v>1164</v>
      </c>
      <c r="C87" s="1" t="s">
        <v>378</v>
      </c>
      <c r="D87" s="1">
        <v>2018</v>
      </c>
      <c r="E87" s="1" t="s">
        <v>2338</v>
      </c>
    </row>
    <row r="88" spans="1:5" x14ac:dyDescent="0.25">
      <c r="A88" s="3" t="s">
        <v>86</v>
      </c>
      <c r="B88" s="17" t="s">
        <v>1164</v>
      </c>
      <c r="C88" s="1" t="s">
        <v>378</v>
      </c>
      <c r="D88" s="1">
        <v>2018</v>
      </c>
      <c r="E88" s="1" t="s">
        <v>2339</v>
      </c>
    </row>
    <row r="89" spans="1:5" x14ac:dyDescent="0.25">
      <c r="A89" s="3" t="s">
        <v>87</v>
      </c>
      <c r="B89" s="17" t="s">
        <v>1164</v>
      </c>
      <c r="C89" s="1" t="s">
        <v>378</v>
      </c>
      <c r="D89" s="1">
        <v>2018</v>
      </c>
      <c r="E89" s="1" t="s">
        <v>2340</v>
      </c>
    </row>
    <row r="90" spans="1:5" x14ac:dyDescent="0.25">
      <c r="A90" s="3" t="s">
        <v>88</v>
      </c>
      <c r="B90" s="17" t="s">
        <v>1164</v>
      </c>
      <c r="C90" s="1" t="s">
        <v>378</v>
      </c>
      <c r="D90" s="1">
        <v>2018</v>
      </c>
      <c r="E90" s="1" t="s">
        <v>2341</v>
      </c>
    </row>
    <row r="91" spans="1:5" x14ac:dyDescent="0.25">
      <c r="A91" s="3" t="s">
        <v>89</v>
      </c>
      <c r="B91" s="17" t="s">
        <v>1164</v>
      </c>
      <c r="C91" s="1" t="s">
        <v>1260</v>
      </c>
      <c r="D91" s="1">
        <v>2017</v>
      </c>
      <c r="E91" s="1" t="s">
        <v>2342</v>
      </c>
    </row>
    <row r="92" spans="1:5" x14ac:dyDescent="0.25">
      <c r="A92" s="3" t="s">
        <v>90</v>
      </c>
      <c r="B92" s="17" t="s">
        <v>1164</v>
      </c>
      <c r="C92" s="1" t="s">
        <v>1260</v>
      </c>
      <c r="D92" s="1">
        <v>2017</v>
      </c>
      <c r="E92" s="1" t="s">
        <v>2343</v>
      </c>
    </row>
    <row r="93" spans="1:5" x14ac:dyDescent="0.25">
      <c r="A93" s="3" t="s">
        <v>91</v>
      </c>
      <c r="B93" s="17" t="s">
        <v>1164</v>
      </c>
      <c r="C93" s="1" t="s">
        <v>1260</v>
      </c>
      <c r="D93" s="1">
        <v>2017</v>
      </c>
      <c r="E93" s="1" t="s">
        <v>2344</v>
      </c>
    </row>
    <row r="94" spans="1:5" x14ac:dyDescent="0.25">
      <c r="A94" s="3" t="s">
        <v>92</v>
      </c>
      <c r="B94" s="17" t="s">
        <v>1164</v>
      </c>
      <c r="C94" s="1" t="s">
        <v>1260</v>
      </c>
      <c r="D94" s="1">
        <v>2017</v>
      </c>
      <c r="E94" s="1" t="s">
        <v>2345</v>
      </c>
    </row>
    <row r="95" spans="1:5" x14ac:dyDescent="0.25">
      <c r="A95" s="3" t="s">
        <v>93</v>
      </c>
      <c r="B95" s="17" t="s">
        <v>1164</v>
      </c>
      <c r="C95" s="1" t="s">
        <v>1260</v>
      </c>
      <c r="D95" s="1">
        <v>2017</v>
      </c>
      <c r="E95" s="1" t="s">
        <v>2346</v>
      </c>
    </row>
    <row r="96" spans="1:5" x14ac:dyDescent="0.25">
      <c r="A96" s="3" t="s">
        <v>94</v>
      </c>
      <c r="B96" s="17" t="s">
        <v>1164</v>
      </c>
      <c r="C96" s="1" t="s">
        <v>1260</v>
      </c>
      <c r="D96" s="1">
        <v>2017</v>
      </c>
      <c r="E96" s="1" t="s">
        <v>2347</v>
      </c>
    </row>
    <row r="97" spans="1:5" x14ac:dyDescent="0.25">
      <c r="A97" s="3" t="s">
        <v>95</v>
      </c>
      <c r="B97" s="17" t="s">
        <v>1164</v>
      </c>
      <c r="C97" s="1" t="s">
        <v>378</v>
      </c>
      <c r="D97" s="1">
        <v>2018</v>
      </c>
      <c r="E97" s="1" t="s">
        <v>2348</v>
      </c>
    </row>
    <row r="98" spans="1:5" x14ac:dyDescent="0.25">
      <c r="A98" s="3" t="s">
        <v>96</v>
      </c>
      <c r="B98" s="17" t="s">
        <v>1164</v>
      </c>
      <c r="C98" s="1" t="s">
        <v>1260</v>
      </c>
      <c r="D98" s="1">
        <v>2017</v>
      </c>
      <c r="E98" s="1" t="s">
        <v>2349</v>
      </c>
    </row>
    <row r="99" spans="1:5" x14ac:dyDescent="0.25">
      <c r="A99" s="3" t="s">
        <v>97</v>
      </c>
      <c r="B99" s="17" t="s">
        <v>1164</v>
      </c>
      <c r="C99" s="1" t="s">
        <v>1260</v>
      </c>
      <c r="D99" s="1">
        <v>2017</v>
      </c>
      <c r="E99" s="1" t="s">
        <v>2350</v>
      </c>
    </row>
    <row r="100" spans="1:5" x14ac:dyDescent="0.25">
      <c r="A100" s="3" t="s">
        <v>98</v>
      </c>
      <c r="B100" s="17" t="s">
        <v>1164</v>
      </c>
      <c r="C100" s="1" t="s">
        <v>378</v>
      </c>
      <c r="D100" s="1">
        <v>2018</v>
      </c>
      <c r="E100" s="1" t="s">
        <v>2351</v>
      </c>
    </row>
    <row r="101" spans="1:5" x14ac:dyDescent="0.25">
      <c r="A101" s="3" t="s">
        <v>99</v>
      </c>
      <c r="B101" s="17" t="s">
        <v>1164</v>
      </c>
      <c r="C101" s="1" t="s">
        <v>378</v>
      </c>
      <c r="D101" s="1">
        <v>2018</v>
      </c>
      <c r="E101" s="1" t="s">
        <v>2352</v>
      </c>
    </row>
    <row r="102" spans="1:5" x14ac:dyDescent="0.25">
      <c r="A102" s="3" t="s">
        <v>100</v>
      </c>
      <c r="B102" s="17" t="s">
        <v>1164</v>
      </c>
      <c r="C102" s="1" t="s">
        <v>1260</v>
      </c>
      <c r="D102" s="1">
        <v>2017</v>
      </c>
      <c r="E102" s="1" t="s">
        <v>2353</v>
      </c>
    </row>
    <row r="103" spans="1:5" x14ac:dyDescent="0.25">
      <c r="A103" s="3" t="s">
        <v>101</v>
      </c>
      <c r="B103" s="17" t="s">
        <v>1164</v>
      </c>
      <c r="C103" s="1" t="s">
        <v>1260</v>
      </c>
      <c r="D103" s="1">
        <v>2017</v>
      </c>
      <c r="E103" s="1" t="s">
        <v>2354</v>
      </c>
    </row>
    <row r="104" spans="1:5" x14ac:dyDescent="0.25">
      <c r="A104" s="3" t="s">
        <v>102</v>
      </c>
      <c r="B104" s="17" t="s">
        <v>1164</v>
      </c>
      <c r="C104" s="1" t="s">
        <v>378</v>
      </c>
      <c r="D104" s="1">
        <v>2018</v>
      </c>
      <c r="E104" s="1" t="s">
        <v>2355</v>
      </c>
    </row>
    <row r="105" spans="1:5" x14ac:dyDescent="0.25">
      <c r="A105" s="3" t="s">
        <v>103</v>
      </c>
      <c r="B105" s="17" t="s">
        <v>1164</v>
      </c>
      <c r="C105" s="1" t="s">
        <v>1260</v>
      </c>
      <c r="D105" s="1">
        <v>2017</v>
      </c>
      <c r="E105" s="1" t="s">
        <v>2356</v>
      </c>
    </row>
    <row r="106" spans="1:5" x14ac:dyDescent="0.25">
      <c r="A106" s="3" t="s">
        <v>104</v>
      </c>
      <c r="B106" s="17" t="s">
        <v>1164</v>
      </c>
      <c r="C106" s="1" t="s">
        <v>1260</v>
      </c>
      <c r="D106" s="1">
        <v>2017</v>
      </c>
      <c r="E106" s="1" t="s">
        <v>2357</v>
      </c>
    </row>
    <row r="107" spans="1:5" x14ac:dyDescent="0.25">
      <c r="A107" s="3" t="s">
        <v>105</v>
      </c>
      <c r="B107" s="17" t="s">
        <v>1164</v>
      </c>
      <c r="C107" s="1" t="s">
        <v>1260</v>
      </c>
      <c r="D107" s="1">
        <v>2017</v>
      </c>
      <c r="E107" s="1" t="s">
        <v>2358</v>
      </c>
    </row>
    <row r="108" spans="1:5" x14ac:dyDescent="0.25">
      <c r="A108" s="3" t="s">
        <v>106</v>
      </c>
      <c r="B108" s="17" t="s">
        <v>1164</v>
      </c>
      <c r="C108" s="1" t="s">
        <v>1260</v>
      </c>
      <c r="D108" s="1">
        <v>2017</v>
      </c>
      <c r="E108" s="1" t="s">
        <v>1276</v>
      </c>
    </row>
    <row r="109" spans="1:5" x14ac:dyDescent="0.25">
      <c r="A109" s="3" t="s">
        <v>106</v>
      </c>
      <c r="B109" s="17" t="s">
        <v>1164</v>
      </c>
      <c r="C109" s="1" t="s">
        <v>378</v>
      </c>
      <c r="D109" s="1">
        <v>2018</v>
      </c>
      <c r="E109" s="1" t="s">
        <v>1277</v>
      </c>
    </row>
    <row r="110" spans="1:5" x14ac:dyDescent="0.25">
      <c r="A110" s="3" t="s">
        <v>107</v>
      </c>
      <c r="B110" s="17" t="s">
        <v>1164</v>
      </c>
      <c r="C110" s="1" t="s">
        <v>378</v>
      </c>
      <c r="D110" s="1">
        <v>2018</v>
      </c>
      <c r="E110" s="1" t="s">
        <v>2359</v>
      </c>
    </row>
    <row r="111" spans="1:5" x14ac:dyDescent="0.25">
      <c r="A111" s="3" t="s">
        <v>108</v>
      </c>
      <c r="B111" s="17" t="s">
        <v>1164</v>
      </c>
      <c r="C111" s="1" t="s">
        <v>378</v>
      </c>
      <c r="D111" s="1">
        <v>2018</v>
      </c>
      <c r="E111" s="1" t="s">
        <v>2360</v>
      </c>
    </row>
    <row r="112" spans="1:5" x14ac:dyDescent="0.25">
      <c r="A112" s="3" t="s">
        <v>109</v>
      </c>
      <c r="B112" s="17" t="s">
        <v>1164</v>
      </c>
      <c r="C112" s="1" t="s">
        <v>378</v>
      </c>
      <c r="D112" s="1">
        <v>2018</v>
      </c>
      <c r="E112" s="1" t="s">
        <v>2361</v>
      </c>
    </row>
    <row r="113" spans="1:5" x14ac:dyDescent="0.25">
      <c r="A113" s="3" t="s">
        <v>110</v>
      </c>
      <c r="B113" s="17" t="s">
        <v>1164</v>
      </c>
      <c r="C113" s="1" t="s">
        <v>1260</v>
      </c>
      <c r="D113" s="1">
        <v>2017</v>
      </c>
      <c r="E113" s="1" t="s">
        <v>2362</v>
      </c>
    </row>
    <row r="114" spans="1:5" x14ac:dyDescent="0.25">
      <c r="A114" s="3" t="s">
        <v>111</v>
      </c>
      <c r="B114" s="17" t="s">
        <v>1164</v>
      </c>
      <c r="C114" s="1" t="s">
        <v>1260</v>
      </c>
      <c r="D114" s="1">
        <v>2017</v>
      </c>
      <c r="E114" s="1" t="s">
        <v>2363</v>
      </c>
    </row>
    <row r="115" spans="1:5" x14ac:dyDescent="0.25">
      <c r="A115" s="3" t="s">
        <v>112</v>
      </c>
      <c r="B115" s="17" t="s">
        <v>1164</v>
      </c>
      <c r="C115" s="1" t="s">
        <v>1260</v>
      </c>
      <c r="D115" s="1">
        <v>2017</v>
      </c>
      <c r="E115" s="1" t="s">
        <v>2364</v>
      </c>
    </row>
    <row r="116" spans="1:5" x14ac:dyDescent="0.25">
      <c r="A116" s="3" t="s">
        <v>113</v>
      </c>
      <c r="B116" s="17" t="s">
        <v>1164</v>
      </c>
      <c r="C116" s="1" t="s">
        <v>378</v>
      </c>
      <c r="D116" s="1">
        <v>2018</v>
      </c>
      <c r="E116" s="1" t="s">
        <v>2365</v>
      </c>
    </row>
    <row r="117" spans="1:5" x14ac:dyDescent="0.25">
      <c r="A117" s="3" t="s">
        <v>114</v>
      </c>
      <c r="B117" s="17" t="s">
        <v>1164</v>
      </c>
      <c r="C117" s="1" t="s">
        <v>1260</v>
      </c>
      <c r="D117" s="1">
        <v>2017</v>
      </c>
      <c r="E117" s="1" t="s">
        <v>2366</v>
      </c>
    </row>
    <row r="118" spans="1:5" x14ac:dyDescent="0.25">
      <c r="A118" s="3" t="s">
        <v>115</v>
      </c>
      <c r="B118" s="17" t="s">
        <v>1164</v>
      </c>
      <c r="C118" s="1" t="s">
        <v>378</v>
      </c>
      <c r="D118" s="1">
        <v>2018</v>
      </c>
      <c r="E118" s="1" t="s">
        <v>2367</v>
      </c>
    </row>
    <row r="119" spans="1:5" x14ac:dyDescent="0.25">
      <c r="A119" s="3" t="s">
        <v>116</v>
      </c>
      <c r="B119" s="17" t="s">
        <v>1164</v>
      </c>
      <c r="C119" s="1" t="s">
        <v>378</v>
      </c>
      <c r="D119" s="1">
        <v>2018</v>
      </c>
      <c r="E119" s="1" t="s">
        <v>2368</v>
      </c>
    </row>
    <row r="120" spans="1:5" x14ac:dyDescent="0.25">
      <c r="A120" s="3" t="s">
        <v>117</v>
      </c>
      <c r="B120" s="17" t="s">
        <v>1164</v>
      </c>
      <c r="C120" s="1" t="s">
        <v>1260</v>
      </c>
      <c r="D120" s="1">
        <v>2017</v>
      </c>
      <c r="E120" s="1" t="s">
        <v>2369</v>
      </c>
    </row>
    <row r="121" spans="1:5" x14ac:dyDescent="0.25">
      <c r="A121" s="3" t="s">
        <v>118</v>
      </c>
      <c r="B121" s="17" t="s">
        <v>1164</v>
      </c>
      <c r="C121" s="1" t="s">
        <v>378</v>
      </c>
      <c r="D121" s="1">
        <v>2018</v>
      </c>
      <c r="E121" s="1" t="s">
        <v>2370</v>
      </c>
    </row>
    <row r="122" spans="1:5" x14ac:dyDescent="0.25">
      <c r="A122" s="3" t="s">
        <v>119</v>
      </c>
      <c r="B122" s="17" t="s">
        <v>1164</v>
      </c>
      <c r="C122" s="1" t="s">
        <v>378</v>
      </c>
      <c r="D122" s="1">
        <v>2018</v>
      </c>
      <c r="E122" s="1" t="s">
        <v>2371</v>
      </c>
    </row>
    <row r="123" spans="1:5" x14ac:dyDescent="0.25">
      <c r="A123" s="3" t="s">
        <v>120</v>
      </c>
      <c r="B123" s="17" t="s">
        <v>1164</v>
      </c>
      <c r="C123" s="1" t="s">
        <v>378</v>
      </c>
      <c r="D123" s="1">
        <v>2018</v>
      </c>
      <c r="E123" s="1" t="s">
        <v>2372</v>
      </c>
    </row>
    <row r="124" spans="1:5" x14ac:dyDescent="0.25">
      <c r="A124" s="3" t="s">
        <v>121</v>
      </c>
      <c r="B124" s="17" t="s">
        <v>1164</v>
      </c>
      <c r="C124" s="1" t="s">
        <v>378</v>
      </c>
      <c r="D124" s="1">
        <v>2018</v>
      </c>
      <c r="E124" s="1" t="s">
        <v>2373</v>
      </c>
    </row>
    <row r="125" spans="1:5" x14ac:dyDescent="0.25">
      <c r="A125" s="3" t="s">
        <v>122</v>
      </c>
      <c r="B125" s="17" t="s">
        <v>1164</v>
      </c>
      <c r="C125" s="1" t="s">
        <v>378</v>
      </c>
      <c r="D125" s="1">
        <v>2018</v>
      </c>
      <c r="E125" s="1" t="s">
        <v>2374</v>
      </c>
    </row>
    <row r="126" spans="1:5" x14ac:dyDescent="0.25">
      <c r="A126" s="3" t="s">
        <v>123</v>
      </c>
      <c r="B126" s="17" t="s">
        <v>1164</v>
      </c>
      <c r="C126" s="1" t="s">
        <v>378</v>
      </c>
      <c r="D126" s="1">
        <v>2018</v>
      </c>
      <c r="E126" s="1" t="s">
        <v>2375</v>
      </c>
    </row>
    <row r="127" spans="1:5" x14ac:dyDescent="0.25">
      <c r="A127" s="3" t="s">
        <v>124</v>
      </c>
      <c r="B127" s="17" t="s">
        <v>1164</v>
      </c>
      <c r="C127" s="1" t="s">
        <v>378</v>
      </c>
      <c r="D127" s="1">
        <v>2018</v>
      </c>
      <c r="E127" s="1" t="s">
        <v>2376</v>
      </c>
    </row>
    <row r="128" spans="1:5" x14ac:dyDescent="0.25">
      <c r="A128" s="3" t="s">
        <v>125</v>
      </c>
      <c r="B128" s="17" t="s">
        <v>1164</v>
      </c>
      <c r="C128" s="1" t="s">
        <v>378</v>
      </c>
      <c r="D128" s="1">
        <v>2018</v>
      </c>
      <c r="E128" s="1" t="s">
        <v>2377</v>
      </c>
    </row>
    <row r="129" spans="1:5" x14ac:dyDescent="0.25">
      <c r="A129" s="3" t="s">
        <v>126</v>
      </c>
      <c r="B129" s="17" t="s">
        <v>1164</v>
      </c>
      <c r="C129" s="1" t="s">
        <v>378</v>
      </c>
      <c r="D129" s="1">
        <v>2018</v>
      </c>
      <c r="E129" s="1" t="s">
        <v>2378</v>
      </c>
    </row>
    <row r="130" spans="1:5" x14ac:dyDescent="0.25">
      <c r="A130" s="3" t="s">
        <v>127</v>
      </c>
      <c r="B130" s="17" t="s">
        <v>1164</v>
      </c>
      <c r="C130" s="1" t="s">
        <v>378</v>
      </c>
      <c r="D130" s="1">
        <v>2018</v>
      </c>
      <c r="E130" s="1" t="s">
        <v>2379</v>
      </c>
    </row>
    <row r="131" spans="1:5" x14ac:dyDescent="0.25">
      <c r="A131" s="3" t="s">
        <v>128</v>
      </c>
      <c r="B131" s="17" t="s">
        <v>1164</v>
      </c>
      <c r="C131" s="1" t="s">
        <v>1260</v>
      </c>
      <c r="D131" s="1">
        <v>2017</v>
      </c>
      <c r="E131" s="1" t="s">
        <v>2380</v>
      </c>
    </row>
    <row r="132" spans="1:5" x14ac:dyDescent="0.25">
      <c r="A132" s="3" t="s">
        <v>129</v>
      </c>
      <c r="B132" s="17" t="s">
        <v>1164</v>
      </c>
      <c r="C132" s="1" t="s">
        <v>1260</v>
      </c>
      <c r="D132" s="1">
        <v>2017</v>
      </c>
      <c r="E132" s="1" t="s">
        <v>2381</v>
      </c>
    </row>
    <row r="133" spans="1:5" x14ac:dyDescent="0.25">
      <c r="A133" s="3" t="s">
        <v>130</v>
      </c>
      <c r="B133" s="17" t="s">
        <v>1164</v>
      </c>
      <c r="C133" s="1" t="s">
        <v>1260</v>
      </c>
      <c r="D133" s="1">
        <v>2017</v>
      </c>
      <c r="E133" s="1" t="s">
        <v>2382</v>
      </c>
    </row>
    <row r="134" spans="1:5" x14ac:dyDescent="0.25">
      <c r="A134" s="3" t="s">
        <v>131</v>
      </c>
      <c r="B134" s="17" t="s">
        <v>1164</v>
      </c>
      <c r="C134" s="1" t="s">
        <v>1260</v>
      </c>
      <c r="D134" s="1">
        <v>2017</v>
      </c>
      <c r="E134" s="1" t="s">
        <v>2383</v>
      </c>
    </row>
    <row r="135" spans="1:5" x14ac:dyDescent="0.25">
      <c r="A135" s="3" t="s">
        <v>132</v>
      </c>
      <c r="B135" s="17" t="s">
        <v>1164</v>
      </c>
      <c r="C135" s="1" t="s">
        <v>1260</v>
      </c>
      <c r="D135" s="1">
        <v>2017</v>
      </c>
      <c r="E135" s="1" t="s">
        <v>2384</v>
      </c>
    </row>
    <row r="136" spans="1:5" x14ac:dyDescent="0.25">
      <c r="A136" s="3" t="s">
        <v>133</v>
      </c>
      <c r="B136" s="17" t="s">
        <v>1164</v>
      </c>
      <c r="C136" s="1" t="s">
        <v>1260</v>
      </c>
      <c r="D136" s="1">
        <v>2017</v>
      </c>
      <c r="E136" s="1" t="s">
        <v>2385</v>
      </c>
    </row>
    <row r="137" spans="1:5" x14ac:dyDescent="0.25">
      <c r="A137" s="3" t="s">
        <v>134</v>
      </c>
      <c r="B137" s="17" t="s">
        <v>1164</v>
      </c>
      <c r="C137" s="1" t="s">
        <v>378</v>
      </c>
      <c r="D137" s="1">
        <v>2018</v>
      </c>
      <c r="E137" s="1" t="s">
        <v>2386</v>
      </c>
    </row>
    <row r="138" spans="1:5" x14ac:dyDescent="0.25">
      <c r="A138" s="3" t="s">
        <v>135</v>
      </c>
      <c r="B138" s="17" t="s">
        <v>1164</v>
      </c>
      <c r="C138" s="1" t="s">
        <v>1260</v>
      </c>
      <c r="D138" s="1">
        <v>2017</v>
      </c>
      <c r="E138" s="1" t="s">
        <v>2387</v>
      </c>
    </row>
    <row r="139" spans="1:5" x14ac:dyDescent="0.25">
      <c r="A139" s="3" t="s">
        <v>136</v>
      </c>
      <c r="B139" s="17" t="s">
        <v>1164</v>
      </c>
      <c r="C139" s="1" t="s">
        <v>1260</v>
      </c>
      <c r="D139" s="1">
        <v>2017</v>
      </c>
      <c r="E139" s="1" t="s">
        <v>2388</v>
      </c>
    </row>
    <row r="140" spans="1:5" x14ac:dyDescent="0.25">
      <c r="A140" s="3" t="s">
        <v>137</v>
      </c>
      <c r="B140" s="17" t="s">
        <v>1164</v>
      </c>
      <c r="C140" s="1" t="s">
        <v>1260</v>
      </c>
      <c r="D140" s="1">
        <v>2017</v>
      </c>
      <c r="E140" s="1" t="s">
        <v>2389</v>
      </c>
    </row>
    <row r="141" spans="1:5" x14ac:dyDescent="0.25">
      <c r="A141" s="3" t="s">
        <v>138</v>
      </c>
      <c r="B141" s="17" t="s">
        <v>1164</v>
      </c>
      <c r="C141" s="1" t="s">
        <v>1260</v>
      </c>
      <c r="D141" s="1">
        <v>2017</v>
      </c>
      <c r="E141" s="1" t="s">
        <v>2390</v>
      </c>
    </row>
    <row r="142" spans="1:5" x14ac:dyDescent="0.25">
      <c r="A142" s="3" t="s">
        <v>139</v>
      </c>
      <c r="B142" s="17" t="s">
        <v>1164</v>
      </c>
      <c r="C142" s="1" t="s">
        <v>378</v>
      </c>
      <c r="D142" s="1">
        <v>2018</v>
      </c>
      <c r="E142" s="1" t="s">
        <v>2391</v>
      </c>
    </row>
    <row r="143" spans="1:5" x14ac:dyDescent="0.25">
      <c r="A143" s="3" t="s">
        <v>140</v>
      </c>
      <c r="B143" s="17" t="s">
        <v>1164</v>
      </c>
      <c r="C143" s="1" t="s">
        <v>378</v>
      </c>
      <c r="D143" s="1">
        <v>2018</v>
      </c>
      <c r="E143" s="1" t="s">
        <v>2392</v>
      </c>
    </row>
    <row r="144" spans="1:5" x14ac:dyDescent="0.25">
      <c r="A144" s="3" t="s">
        <v>141</v>
      </c>
      <c r="B144" s="17" t="s">
        <v>1164</v>
      </c>
      <c r="C144" s="1" t="s">
        <v>1260</v>
      </c>
      <c r="D144" s="1">
        <v>2017</v>
      </c>
      <c r="E144" s="1" t="s">
        <v>2393</v>
      </c>
    </row>
    <row r="145" spans="1:5" x14ac:dyDescent="0.25">
      <c r="A145" s="3" t="s">
        <v>142</v>
      </c>
      <c r="B145" s="17" t="s">
        <v>1164</v>
      </c>
      <c r="C145" s="1" t="s">
        <v>378</v>
      </c>
      <c r="D145" s="1">
        <v>2018</v>
      </c>
      <c r="E145" s="1" t="s">
        <v>2394</v>
      </c>
    </row>
    <row r="146" spans="1:5" x14ac:dyDescent="0.25">
      <c r="A146" s="3" t="s">
        <v>143</v>
      </c>
      <c r="B146" s="17" t="s">
        <v>1164</v>
      </c>
      <c r="C146" s="1" t="s">
        <v>1260</v>
      </c>
      <c r="D146" s="1">
        <v>2017</v>
      </c>
      <c r="E146" s="1" t="s">
        <v>2395</v>
      </c>
    </row>
    <row r="147" spans="1:5" x14ac:dyDescent="0.25">
      <c r="A147" s="3" t="s">
        <v>144</v>
      </c>
      <c r="B147" s="17" t="s">
        <v>1164</v>
      </c>
      <c r="C147" s="1" t="s">
        <v>378</v>
      </c>
      <c r="D147" s="1">
        <v>2018</v>
      </c>
      <c r="E147" s="1" t="s">
        <v>2396</v>
      </c>
    </row>
    <row r="148" spans="1:5" x14ac:dyDescent="0.25">
      <c r="A148" s="3" t="s">
        <v>145</v>
      </c>
      <c r="B148" s="17" t="s">
        <v>1164</v>
      </c>
      <c r="C148" s="1" t="s">
        <v>378</v>
      </c>
      <c r="D148" s="1">
        <v>2018</v>
      </c>
      <c r="E148" s="1" t="s">
        <v>2397</v>
      </c>
    </row>
    <row r="149" spans="1:5" x14ac:dyDescent="0.25">
      <c r="A149" s="3" t="s">
        <v>146</v>
      </c>
      <c r="B149" s="17" t="s">
        <v>1164</v>
      </c>
      <c r="C149" s="1" t="s">
        <v>1260</v>
      </c>
      <c r="D149" s="1">
        <v>2017</v>
      </c>
      <c r="E149" s="1" t="s">
        <v>2398</v>
      </c>
    </row>
    <row r="150" spans="1:5" x14ac:dyDescent="0.25">
      <c r="A150" s="3" t="s">
        <v>147</v>
      </c>
      <c r="B150" s="17" t="s">
        <v>1164</v>
      </c>
      <c r="C150" s="1" t="s">
        <v>1260</v>
      </c>
      <c r="D150" s="1">
        <v>2017</v>
      </c>
      <c r="E150" s="1" t="s">
        <v>2399</v>
      </c>
    </row>
    <row r="151" spans="1:5" x14ac:dyDescent="0.25">
      <c r="A151" s="3" t="s">
        <v>148</v>
      </c>
      <c r="B151" s="17" t="s">
        <v>1164</v>
      </c>
      <c r="C151" s="1" t="s">
        <v>1260</v>
      </c>
      <c r="D151" s="1">
        <v>2017</v>
      </c>
      <c r="E151" s="1" t="s">
        <v>2400</v>
      </c>
    </row>
    <row r="152" spans="1:5" x14ac:dyDescent="0.25">
      <c r="A152" s="3" t="s">
        <v>149</v>
      </c>
      <c r="B152" s="17" t="s">
        <v>1164</v>
      </c>
      <c r="C152" s="1" t="s">
        <v>1260</v>
      </c>
      <c r="D152" s="1">
        <v>2017</v>
      </c>
      <c r="E152" s="1" t="s">
        <v>2401</v>
      </c>
    </row>
    <row r="153" spans="1:5" x14ac:dyDescent="0.25">
      <c r="A153" s="3" t="s">
        <v>150</v>
      </c>
      <c r="B153" s="17" t="s">
        <v>1164</v>
      </c>
      <c r="C153" s="1" t="s">
        <v>1260</v>
      </c>
      <c r="D153" s="1">
        <v>2017</v>
      </c>
      <c r="E153" s="1" t="s">
        <v>2402</v>
      </c>
    </row>
    <row r="154" spans="1:5" x14ac:dyDescent="0.25">
      <c r="A154" s="3" t="s">
        <v>151</v>
      </c>
      <c r="B154" s="17" t="s">
        <v>1164</v>
      </c>
      <c r="C154" s="1" t="s">
        <v>1260</v>
      </c>
      <c r="D154" s="1">
        <v>2017</v>
      </c>
      <c r="E154" s="1" t="s">
        <v>2403</v>
      </c>
    </row>
    <row r="155" spans="1:5" x14ac:dyDescent="0.25">
      <c r="A155" s="3" t="s">
        <v>152</v>
      </c>
      <c r="B155" s="17" t="s">
        <v>1164</v>
      </c>
      <c r="C155" s="1" t="s">
        <v>1260</v>
      </c>
      <c r="D155" s="1">
        <v>2017</v>
      </c>
      <c r="E155" s="1" t="s">
        <v>2404</v>
      </c>
    </row>
    <row r="156" spans="1:5" x14ac:dyDescent="0.25">
      <c r="A156" s="3" t="s">
        <v>153</v>
      </c>
      <c r="B156" s="17" t="s">
        <v>1164</v>
      </c>
      <c r="C156" s="1" t="s">
        <v>1260</v>
      </c>
      <c r="D156" s="1">
        <v>2017</v>
      </c>
      <c r="E156" s="1" t="s">
        <v>2405</v>
      </c>
    </row>
    <row r="157" spans="1:5" x14ac:dyDescent="0.25">
      <c r="A157" s="3" t="s">
        <v>154</v>
      </c>
      <c r="B157" s="17" t="s">
        <v>1164</v>
      </c>
      <c r="C157" s="1" t="s">
        <v>1260</v>
      </c>
      <c r="D157" s="1">
        <v>2017</v>
      </c>
      <c r="E157" s="1" t="s">
        <v>2406</v>
      </c>
    </row>
    <row r="158" spans="1:5" x14ac:dyDescent="0.25">
      <c r="A158" s="3" t="s">
        <v>155</v>
      </c>
      <c r="B158" s="17" t="s">
        <v>1164</v>
      </c>
      <c r="C158" s="1" t="s">
        <v>1260</v>
      </c>
      <c r="D158" s="1">
        <v>2017</v>
      </c>
      <c r="E158" s="1" t="s">
        <v>2407</v>
      </c>
    </row>
    <row r="159" spans="1:5" x14ac:dyDescent="0.25">
      <c r="A159" s="3" t="s">
        <v>156</v>
      </c>
      <c r="B159" s="17" t="s">
        <v>1164</v>
      </c>
      <c r="C159" s="1" t="s">
        <v>1260</v>
      </c>
      <c r="D159" s="1">
        <v>2017</v>
      </c>
      <c r="E159" s="1" t="s">
        <v>2408</v>
      </c>
    </row>
    <row r="160" spans="1:5" x14ac:dyDescent="0.25">
      <c r="A160" s="3" t="s">
        <v>157</v>
      </c>
      <c r="B160" s="17" t="s">
        <v>1164</v>
      </c>
      <c r="C160" s="1" t="s">
        <v>1260</v>
      </c>
      <c r="D160" s="1">
        <v>2017</v>
      </c>
      <c r="E160" s="1" t="s">
        <v>2409</v>
      </c>
    </row>
    <row r="161" spans="1:5" x14ac:dyDescent="0.25">
      <c r="A161" s="3" t="s">
        <v>158</v>
      </c>
      <c r="B161" s="17" t="s">
        <v>1164</v>
      </c>
      <c r="C161" s="1" t="s">
        <v>1260</v>
      </c>
      <c r="D161" s="1">
        <v>2017</v>
      </c>
      <c r="E161" s="1" t="s">
        <v>2410</v>
      </c>
    </row>
    <row r="162" spans="1:5" x14ac:dyDescent="0.25">
      <c r="A162" s="3" t="s">
        <v>159</v>
      </c>
      <c r="B162" s="17" t="s">
        <v>1164</v>
      </c>
      <c r="C162" s="1" t="s">
        <v>1260</v>
      </c>
      <c r="D162" s="1">
        <v>2017</v>
      </c>
      <c r="E162" s="1" t="s">
        <v>2411</v>
      </c>
    </row>
    <row r="163" spans="1:5" x14ac:dyDescent="0.25">
      <c r="A163" s="3" t="s">
        <v>160</v>
      </c>
      <c r="B163" s="17" t="s">
        <v>1164</v>
      </c>
      <c r="C163" s="1" t="s">
        <v>1260</v>
      </c>
      <c r="D163" s="1">
        <v>2017</v>
      </c>
      <c r="E163" s="1" t="s">
        <v>2412</v>
      </c>
    </row>
    <row r="164" spans="1:5" x14ac:dyDescent="0.25">
      <c r="A164" s="3" t="s">
        <v>161</v>
      </c>
      <c r="B164" s="17" t="s">
        <v>1164</v>
      </c>
      <c r="C164" s="1" t="s">
        <v>1260</v>
      </c>
      <c r="D164" s="1">
        <v>2017</v>
      </c>
      <c r="E164" s="1" t="s">
        <v>2413</v>
      </c>
    </row>
    <row r="165" spans="1:5" x14ac:dyDescent="0.25">
      <c r="A165" s="3" t="s">
        <v>162</v>
      </c>
      <c r="B165" s="17" t="s">
        <v>1164</v>
      </c>
      <c r="C165" s="1" t="s">
        <v>1260</v>
      </c>
      <c r="D165" s="1">
        <v>2017</v>
      </c>
      <c r="E165" s="1" t="s">
        <v>2414</v>
      </c>
    </row>
    <row r="166" spans="1:5" x14ac:dyDescent="0.25">
      <c r="A166" s="3" t="s">
        <v>163</v>
      </c>
      <c r="B166" s="17" t="s">
        <v>1164</v>
      </c>
      <c r="C166" s="1" t="s">
        <v>1260</v>
      </c>
      <c r="D166" s="1">
        <v>2017</v>
      </c>
      <c r="E166" s="1" t="s">
        <v>2415</v>
      </c>
    </row>
    <row r="167" spans="1:5" x14ac:dyDescent="0.25">
      <c r="A167" s="3" t="s">
        <v>164</v>
      </c>
      <c r="B167" s="17" t="s">
        <v>1164</v>
      </c>
      <c r="C167" s="1" t="s">
        <v>1260</v>
      </c>
      <c r="D167" s="1">
        <v>2017</v>
      </c>
      <c r="E167" s="1" t="s">
        <v>2416</v>
      </c>
    </row>
    <row r="168" spans="1:5" x14ac:dyDescent="0.25">
      <c r="A168" s="3" t="s">
        <v>165</v>
      </c>
      <c r="B168" s="17" t="s">
        <v>1164</v>
      </c>
      <c r="C168" s="1" t="s">
        <v>1260</v>
      </c>
      <c r="D168" s="1">
        <v>2017</v>
      </c>
      <c r="E168" s="1" t="s">
        <v>2417</v>
      </c>
    </row>
    <row r="169" spans="1:5" x14ac:dyDescent="0.25">
      <c r="A169" s="3" t="s">
        <v>166</v>
      </c>
      <c r="B169" s="17" t="s">
        <v>1164</v>
      </c>
      <c r="C169" s="1" t="s">
        <v>1260</v>
      </c>
      <c r="D169" s="1">
        <v>2017</v>
      </c>
      <c r="E169" s="1" t="s">
        <v>2418</v>
      </c>
    </row>
    <row r="170" spans="1:5" x14ac:dyDescent="0.25">
      <c r="A170" s="3" t="s">
        <v>167</v>
      </c>
      <c r="B170" s="17" t="s">
        <v>1164</v>
      </c>
      <c r="C170" s="1" t="s">
        <v>1260</v>
      </c>
      <c r="D170" s="1">
        <v>2017</v>
      </c>
      <c r="E170" s="1" t="s">
        <v>2419</v>
      </c>
    </row>
    <row r="171" spans="1:5" x14ac:dyDescent="0.25">
      <c r="A171" s="3" t="s">
        <v>168</v>
      </c>
      <c r="B171" s="17" t="s">
        <v>1164</v>
      </c>
      <c r="C171" s="1" t="s">
        <v>1260</v>
      </c>
      <c r="D171" s="1">
        <v>2017</v>
      </c>
      <c r="E171" s="1" t="s">
        <v>1278</v>
      </c>
    </row>
    <row r="172" spans="1:5" x14ac:dyDescent="0.25">
      <c r="A172" s="3" t="s">
        <v>168</v>
      </c>
      <c r="B172" s="17" t="s">
        <v>1164</v>
      </c>
      <c r="C172" s="1" t="s">
        <v>378</v>
      </c>
      <c r="D172" s="1">
        <v>2018</v>
      </c>
      <c r="E172" s="1" t="s">
        <v>1279</v>
      </c>
    </row>
    <row r="173" spans="1:5" x14ac:dyDescent="0.25">
      <c r="A173" s="3" t="s">
        <v>169</v>
      </c>
      <c r="B173" s="17" t="s">
        <v>1164</v>
      </c>
      <c r="C173" s="1" t="s">
        <v>1260</v>
      </c>
      <c r="D173" s="1">
        <v>2017</v>
      </c>
      <c r="E173" s="1" t="s">
        <v>2420</v>
      </c>
    </row>
    <row r="174" spans="1:5" x14ac:dyDescent="0.25">
      <c r="A174" s="3" t="s">
        <v>170</v>
      </c>
      <c r="B174" s="17" t="s">
        <v>1164</v>
      </c>
      <c r="C174" s="1" t="s">
        <v>1260</v>
      </c>
      <c r="D174" s="1">
        <v>2017</v>
      </c>
      <c r="E174" s="1" t="s">
        <v>2421</v>
      </c>
    </row>
    <row r="175" spans="1:5" x14ac:dyDescent="0.25">
      <c r="A175" s="3" t="s">
        <v>171</v>
      </c>
      <c r="B175" s="17" t="s">
        <v>1164</v>
      </c>
      <c r="C175" s="1" t="s">
        <v>1260</v>
      </c>
      <c r="D175" s="1">
        <v>2017</v>
      </c>
      <c r="E175" s="1" t="s">
        <v>2422</v>
      </c>
    </row>
    <row r="176" spans="1:5" x14ac:dyDescent="0.25">
      <c r="A176" s="3" t="s">
        <v>172</v>
      </c>
      <c r="B176" s="17" t="s">
        <v>1164</v>
      </c>
      <c r="C176" s="1" t="s">
        <v>1260</v>
      </c>
      <c r="D176" s="1">
        <v>2017</v>
      </c>
      <c r="E176" s="1" t="s">
        <v>2423</v>
      </c>
    </row>
    <row r="177" spans="1:5" x14ac:dyDescent="0.25">
      <c r="A177" s="3" t="s">
        <v>173</v>
      </c>
      <c r="B177" s="17" t="s">
        <v>1164</v>
      </c>
      <c r="C177" s="1" t="s">
        <v>1260</v>
      </c>
      <c r="D177" s="1">
        <v>2017</v>
      </c>
      <c r="E177" s="1" t="s">
        <v>2424</v>
      </c>
    </row>
    <row r="178" spans="1:5" x14ac:dyDescent="0.25">
      <c r="A178" s="3" t="s">
        <v>174</v>
      </c>
      <c r="B178" s="17" t="s">
        <v>1164</v>
      </c>
      <c r="C178" s="1" t="s">
        <v>1260</v>
      </c>
      <c r="D178" s="1">
        <v>2017</v>
      </c>
      <c r="E178" s="1" t="s">
        <v>2425</v>
      </c>
    </row>
    <row r="179" spans="1:5" x14ac:dyDescent="0.25">
      <c r="A179" s="3" t="s">
        <v>175</v>
      </c>
      <c r="B179" s="17" t="s">
        <v>1164</v>
      </c>
      <c r="C179" s="1" t="s">
        <v>1260</v>
      </c>
      <c r="D179" s="1">
        <v>2017</v>
      </c>
      <c r="E179" s="1" t="s">
        <v>2426</v>
      </c>
    </row>
    <row r="180" spans="1:5" x14ac:dyDescent="0.25">
      <c r="A180" s="3" t="s">
        <v>176</v>
      </c>
      <c r="B180" s="17" t="s">
        <v>1164</v>
      </c>
      <c r="C180" s="1" t="s">
        <v>1260</v>
      </c>
      <c r="D180" s="1">
        <v>2017</v>
      </c>
      <c r="E180" s="1" t="s">
        <v>2427</v>
      </c>
    </row>
    <row r="181" spans="1:5" x14ac:dyDescent="0.25">
      <c r="A181" s="3" t="s">
        <v>177</v>
      </c>
      <c r="B181" s="17" t="s">
        <v>1164</v>
      </c>
      <c r="C181" s="1" t="s">
        <v>1260</v>
      </c>
      <c r="D181" s="1">
        <v>2017</v>
      </c>
      <c r="E181" s="1" t="s">
        <v>2428</v>
      </c>
    </row>
    <row r="182" spans="1:5" x14ac:dyDescent="0.25">
      <c r="A182" s="3" t="s">
        <v>178</v>
      </c>
      <c r="B182" s="17" t="s">
        <v>1164</v>
      </c>
      <c r="C182" s="1" t="s">
        <v>1260</v>
      </c>
      <c r="D182" s="1">
        <v>2017</v>
      </c>
      <c r="E182" s="1" t="s">
        <v>2429</v>
      </c>
    </row>
    <row r="183" spans="1:5" x14ac:dyDescent="0.25">
      <c r="A183" s="3" t="s">
        <v>179</v>
      </c>
      <c r="B183" s="17" t="s">
        <v>1164</v>
      </c>
      <c r="C183" s="1" t="s">
        <v>1260</v>
      </c>
      <c r="D183" s="1">
        <v>2017</v>
      </c>
      <c r="E183" s="1" t="s">
        <v>2430</v>
      </c>
    </row>
    <row r="184" spans="1:5" x14ac:dyDescent="0.25">
      <c r="A184" s="3" t="s">
        <v>180</v>
      </c>
      <c r="B184" s="17" t="s">
        <v>1164</v>
      </c>
      <c r="C184" s="1" t="s">
        <v>1260</v>
      </c>
      <c r="D184" s="1">
        <v>2017</v>
      </c>
      <c r="E184" s="1" t="s">
        <v>1280</v>
      </c>
    </row>
    <row r="185" spans="1:5" x14ac:dyDescent="0.25">
      <c r="A185" s="3" t="s">
        <v>180</v>
      </c>
      <c r="B185" s="17" t="s">
        <v>1164</v>
      </c>
      <c r="C185" s="1" t="s">
        <v>1038</v>
      </c>
      <c r="D185" s="1">
        <v>2018</v>
      </c>
      <c r="E185" s="1" t="s">
        <v>1281</v>
      </c>
    </row>
    <row r="186" spans="1:5" x14ac:dyDescent="0.25">
      <c r="A186" s="3" t="s">
        <v>180</v>
      </c>
      <c r="B186" s="17" t="s">
        <v>1164</v>
      </c>
      <c r="C186" s="1" t="s">
        <v>1039</v>
      </c>
      <c r="D186" s="1">
        <v>2018</v>
      </c>
      <c r="E186" s="1" t="s">
        <v>1282</v>
      </c>
    </row>
    <row r="187" spans="1:5" x14ac:dyDescent="0.25">
      <c r="A187" s="3" t="s">
        <v>181</v>
      </c>
      <c r="B187" s="17" t="s">
        <v>1164</v>
      </c>
      <c r="C187" s="1" t="s">
        <v>1260</v>
      </c>
      <c r="D187" s="1">
        <v>2017</v>
      </c>
      <c r="E187" s="1" t="s">
        <v>2431</v>
      </c>
    </row>
    <row r="188" spans="1:5" x14ac:dyDescent="0.25">
      <c r="A188" s="3" t="s">
        <v>182</v>
      </c>
      <c r="B188" s="17" t="s">
        <v>1164</v>
      </c>
      <c r="C188" s="1" t="s">
        <v>1260</v>
      </c>
      <c r="D188" s="1">
        <v>2017</v>
      </c>
      <c r="E188" s="1" t="s">
        <v>2432</v>
      </c>
    </row>
    <row r="189" spans="1:5" x14ac:dyDescent="0.25">
      <c r="A189" s="3" t="s">
        <v>183</v>
      </c>
      <c r="B189" s="17" t="s">
        <v>1164</v>
      </c>
      <c r="C189" s="1" t="s">
        <v>1260</v>
      </c>
      <c r="D189" s="1">
        <v>2017</v>
      </c>
      <c r="E189" s="1" t="s">
        <v>2433</v>
      </c>
    </row>
    <row r="190" spans="1:5" x14ac:dyDescent="0.25">
      <c r="A190" s="3" t="s">
        <v>184</v>
      </c>
      <c r="B190" s="17" t="s">
        <v>1164</v>
      </c>
      <c r="C190" s="1" t="s">
        <v>1260</v>
      </c>
      <c r="D190" s="1">
        <v>2017</v>
      </c>
      <c r="E190" s="1" t="s">
        <v>2434</v>
      </c>
    </row>
    <row r="191" spans="1:5" x14ac:dyDescent="0.25">
      <c r="A191" s="3" t="s">
        <v>185</v>
      </c>
      <c r="B191" s="17" t="s">
        <v>1164</v>
      </c>
      <c r="C191" s="1" t="s">
        <v>1260</v>
      </c>
      <c r="D191" s="1">
        <v>2017</v>
      </c>
      <c r="E191" s="1" t="s">
        <v>2435</v>
      </c>
    </row>
    <row r="192" spans="1:5" x14ac:dyDescent="0.25">
      <c r="A192" s="3" t="s">
        <v>186</v>
      </c>
      <c r="B192" s="17" t="s">
        <v>1164</v>
      </c>
      <c r="C192" s="1" t="s">
        <v>1260</v>
      </c>
      <c r="D192" s="1">
        <v>2017</v>
      </c>
      <c r="E192" s="1" t="s">
        <v>2436</v>
      </c>
    </row>
    <row r="193" spans="1:5" x14ac:dyDescent="0.25">
      <c r="A193" s="3" t="s">
        <v>187</v>
      </c>
      <c r="B193" s="17" t="s">
        <v>1164</v>
      </c>
      <c r="C193" s="1" t="s">
        <v>1260</v>
      </c>
      <c r="D193" s="1">
        <v>2017</v>
      </c>
      <c r="E193" s="1" t="s">
        <v>2437</v>
      </c>
    </row>
    <row r="194" spans="1:5" x14ac:dyDescent="0.25">
      <c r="A194" s="3" t="s">
        <v>188</v>
      </c>
      <c r="B194" s="17" t="s">
        <v>1164</v>
      </c>
      <c r="C194" s="1" t="s">
        <v>1260</v>
      </c>
      <c r="D194" s="1">
        <v>2017</v>
      </c>
      <c r="E194" s="1" t="s">
        <v>2438</v>
      </c>
    </row>
    <row r="195" spans="1:5" x14ac:dyDescent="0.25">
      <c r="A195" s="3" t="s">
        <v>189</v>
      </c>
      <c r="B195" s="17" t="s">
        <v>1164</v>
      </c>
      <c r="C195" s="1" t="s">
        <v>378</v>
      </c>
      <c r="D195" s="1">
        <v>2018</v>
      </c>
      <c r="E195" s="1" t="s">
        <v>2439</v>
      </c>
    </row>
    <row r="196" spans="1:5" x14ac:dyDescent="0.25">
      <c r="A196" s="3" t="s">
        <v>190</v>
      </c>
      <c r="B196" s="17" t="s">
        <v>1164</v>
      </c>
      <c r="C196" s="1" t="s">
        <v>1260</v>
      </c>
      <c r="D196" s="1">
        <v>2017</v>
      </c>
      <c r="E196" s="1" t="s">
        <v>1283</v>
      </c>
    </row>
    <row r="197" spans="1:5" x14ac:dyDescent="0.25">
      <c r="A197" s="3" t="s">
        <v>190</v>
      </c>
      <c r="B197" s="17" t="s">
        <v>1164</v>
      </c>
      <c r="C197" s="1" t="s">
        <v>378</v>
      </c>
      <c r="D197" s="1">
        <v>2018</v>
      </c>
      <c r="E197" s="1" t="s">
        <v>1284</v>
      </c>
    </row>
    <row r="198" spans="1:5" x14ac:dyDescent="0.25">
      <c r="A198" s="3" t="s">
        <v>191</v>
      </c>
      <c r="B198" s="17" t="s">
        <v>1164</v>
      </c>
      <c r="C198" s="1" t="s">
        <v>1260</v>
      </c>
      <c r="D198" s="1">
        <v>2017</v>
      </c>
      <c r="E198" s="1" t="s">
        <v>2440</v>
      </c>
    </row>
    <row r="199" spans="1:5" x14ac:dyDescent="0.25">
      <c r="A199" s="3" t="s">
        <v>192</v>
      </c>
      <c r="B199" s="17" t="s">
        <v>1164</v>
      </c>
      <c r="C199" s="1" t="s">
        <v>1260</v>
      </c>
      <c r="D199" s="1">
        <v>2017</v>
      </c>
      <c r="E199" s="1" t="s">
        <v>2441</v>
      </c>
    </row>
    <row r="200" spans="1:5" x14ac:dyDescent="0.25">
      <c r="A200" s="3" t="s">
        <v>193</v>
      </c>
      <c r="B200" s="17" t="s">
        <v>1164</v>
      </c>
      <c r="C200" s="1" t="s">
        <v>1260</v>
      </c>
      <c r="D200" s="1">
        <v>2017</v>
      </c>
      <c r="E200" s="1" t="s">
        <v>2442</v>
      </c>
    </row>
    <row r="201" spans="1:5" x14ac:dyDescent="0.25">
      <c r="A201" s="3" t="s">
        <v>194</v>
      </c>
      <c r="B201" s="17" t="s">
        <v>1164</v>
      </c>
      <c r="C201" s="1" t="s">
        <v>1260</v>
      </c>
      <c r="D201" s="1">
        <v>2017</v>
      </c>
      <c r="E201" s="1" t="s">
        <v>2443</v>
      </c>
    </row>
    <row r="202" spans="1:5" x14ac:dyDescent="0.25">
      <c r="A202" s="3" t="s">
        <v>195</v>
      </c>
      <c r="B202" s="17" t="s">
        <v>1164</v>
      </c>
      <c r="C202" s="1" t="s">
        <v>1260</v>
      </c>
      <c r="D202" s="1">
        <v>2017</v>
      </c>
      <c r="E202" s="1" t="s">
        <v>2444</v>
      </c>
    </row>
    <row r="203" spans="1:5" x14ac:dyDescent="0.25">
      <c r="A203" s="3" t="s">
        <v>196</v>
      </c>
      <c r="B203" s="17" t="s">
        <v>1164</v>
      </c>
      <c r="C203" s="1" t="s">
        <v>1260</v>
      </c>
      <c r="D203" s="1">
        <v>2017</v>
      </c>
      <c r="E203" s="1" t="s">
        <v>2445</v>
      </c>
    </row>
    <row r="204" spans="1:5" x14ac:dyDescent="0.25">
      <c r="A204" s="3" t="s">
        <v>197</v>
      </c>
      <c r="B204" s="17" t="s">
        <v>1164</v>
      </c>
      <c r="C204" s="1" t="s">
        <v>1260</v>
      </c>
      <c r="D204" s="1">
        <v>2017</v>
      </c>
      <c r="E204" s="1" t="s">
        <v>2446</v>
      </c>
    </row>
    <row r="205" spans="1:5" x14ac:dyDescent="0.25">
      <c r="A205" s="3" t="s">
        <v>198</v>
      </c>
      <c r="B205" s="17" t="s">
        <v>1164</v>
      </c>
      <c r="C205" s="1" t="s">
        <v>1260</v>
      </c>
      <c r="D205" s="1">
        <v>2017</v>
      </c>
      <c r="E205" s="1" t="s">
        <v>2447</v>
      </c>
    </row>
    <row r="206" spans="1:5" x14ac:dyDescent="0.25">
      <c r="A206" s="3" t="s">
        <v>199</v>
      </c>
      <c r="B206" s="17" t="s">
        <v>1164</v>
      </c>
      <c r="C206" s="1" t="s">
        <v>1260</v>
      </c>
      <c r="D206" s="1">
        <v>2017</v>
      </c>
      <c r="E206" s="1" t="s">
        <v>2448</v>
      </c>
    </row>
    <row r="207" spans="1:5" x14ac:dyDescent="0.25">
      <c r="A207" s="3" t="s">
        <v>200</v>
      </c>
      <c r="B207" s="17" t="s">
        <v>1164</v>
      </c>
      <c r="C207" s="1" t="s">
        <v>1260</v>
      </c>
      <c r="D207" s="1">
        <v>2017</v>
      </c>
      <c r="E207" s="1" t="s">
        <v>2449</v>
      </c>
    </row>
    <row r="208" spans="1:5" x14ac:dyDescent="0.25">
      <c r="A208" s="3" t="s">
        <v>201</v>
      </c>
      <c r="B208" s="17" t="s">
        <v>1164</v>
      </c>
      <c r="C208" s="1" t="s">
        <v>1260</v>
      </c>
      <c r="D208" s="1">
        <v>2017</v>
      </c>
      <c r="E208" s="1" t="s">
        <v>2454</v>
      </c>
    </row>
    <row r="209" spans="1:5" x14ac:dyDescent="0.25">
      <c r="A209" s="3" t="s">
        <v>202</v>
      </c>
      <c r="B209" s="17" t="s">
        <v>1164</v>
      </c>
      <c r="C209" s="1" t="s">
        <v>1260</v>
      </c>
      <c r="D209" s="1">
        <v>2017</v>
      </c>
      <c r="E209" s="1" t="s">
        <v>2455</v>
      </c>
    </row>
    <row r="210" spans="1:5" x14ac:dyDescent="0.25">
      <c r="A210" s="3" t="s">
        <v>203</v>
      </c>
      <c r="B210" s="17" t="s">
        <v>1164</v>
      </c>
      <c r="C210" s="1" t="s">
        <v>1260</v>
      </c>
      <c r="D210" s="1">
        <v>2017</v>
      </c>
      <c r="E210" s="1" t="s">
        <v>2456</v>
      </c>
    </row>
    <row r="211" spans="1:5" x14ac:dyDescent="0.25">
      <c r="A211" s="3" t="s">
        <v>204</v>
      </c>
      <c r="B211" s="17" t="s">
        <v>1164</v>
      </c>
      <c r="C211" s="1" t="s">
        <v>1260</v>
      </c>
      <c r="D211" s="1">
        <v>2017</v>
      </c>
      <c r="E211" s="1" t="s">
        <v>2457</v>
      </c>
    </row>
    <row r="212" spans="1:5" x14ac:dyDescent="0.25">
      <c r="A212" s="3" t="s">
        <v>205</v>
      </c>
      <c r="B212" s="17" t="s">
        <v>1164</v>
      </c>
      <c r="C212" s="1" t="s">
        <v>1260</v>
      </c>
      <c r="D212" s="1">
        <v>2017</v>
      </c>
      <c r="E212" s="1" t="s">
        <v>2458</v>
      </c>
    </row>
    <row r="213" spans="1:5" x14ac:dyDescent="0.25">
      <c r="A213" s="3" t="s">
        <v>206</v>
      </c>
      <c r="B213" s="17" t="s">
        <v>1164</v>
      </c>
      <c r="C213" s="1" t="s">
        <v>1260</v>
      </c>
      <c r="D213" s="1">
        <v>2017</v>
      </c>
      <c r="E213" s="1" t="s">
        <v>1285</v>
      </c>
    </row>
    <row r="214" spans="1:5" x14ac:dyDescent="0.25">
      <c r="A214" s="3" t="s">
        <v>206</v>
      </c>
      <c r="B214" s="17" t="s">
        <v>1164</v>
      </c>
      <c r="C214" s="1" t="s">
        <v>378</v>
      </c>
      <c r="D214" s="1">
        <v>2018</v>
      </c>
      <c r="E214" s="1" t="s">
        <v>1286</v>
      </c>
    </row>
    <row r="215" spans="1:5" x14ac:dyDescent="0.25">
      <c r="A215" s="3" t="s">
        <v>207</v>
      </c>
      <c r="B215" s="17" t="s">
        <v>1164</v>
      </c>
      <c r="C215" s="1" t="s">
        <v>1260</v>
      </c>
      <c r="D215" s="1">
        <v>2017</v>
      </c>
      <c r="E215" s="1" t="s">
        <v>2450</v>
      </c>
    </row>
    <row r="216" spans="1:5" x14ac:dyDescent="0.25">
      <c r="A216" s="3" t="s">
        <v>208</v>
      </c>
      <c r="B216" s="17" t="s">
        <v>1164</v>
      </c>
      <c r="C216" s="1" t="s">
        <v>1260</v>
      </c>
      <c r="D216" s="1">
        <v>2017</v>
      </c>
      <c r="E216" s="1" t="s">
        <v>2451</v>
      </c>
    </row>
    <row r="217" spans="1:5" x14ac:dyDescent="0.25">
      <c r="A217" s="3" t="s">
        <v>208</v>
      </c>
      <c r="B217" s="17" t="s">
        <v>1164</v>
      </c>
      <c r="C217" s="1" t="s">
        <v>378</v>
      </c>
      <c r="D217" s="1">
        <v>2018</v>
      </c>
      <c r="E217" s="1" t="s">
        <v>2464</v>
      </c>
    </row>
    <row r="218" spans="1:5" x14ac:dyDescent="0.25">
      <c r="A218" s="3" t="s">
        <v>209</v>
      </c>
      <c r="B218" s="17" t="s">
        <v>1164</v>
      </c>
      <c r="C218" s="1" t="s">
        <v>1260</v>
      </c>
      <c r="D218" s="1">
        <v>2017</v>
      </c>
      <c r="E218" s="1" t="s">
        <v>2452</v>
      </c>
    </row>
    <row r="219" spans="1:5" x14ac:dyDescent="0.25">
      <c r="A219" s="3" t="s">
        <v>210</v>
      </c>
      <c r="B219" s="17" t="s">
        <v>1164</v>
      </c>
      <c r="C219" s="1" t="s">
        <v>1260</v>
      </c>
      <c r="D219" s="1">
        <v>2017</v>
      </c>
      <c r="E219" s="1" t="s">
        <v>2453</v>
      </c>
    </row>
    <row r="220" spans="1:5" x14ac:dyDescent="0.25">
      <c r="A220" s="3" t="s">
        <v>210</v>
      </c>
      <c r="B220" s="17" t="s">
        <v>1164</v>
      </c>
      <c r="C220" s="1" t="s">
        <v>378</v>
      </c>
      <c r="D220" s="1">
        <v>2018</v>
      </c>
      <c r="E220" s="1" t="s">
        <v>2465</v>
      </c>
    </row>
    <row r="221" spans="1:5" x14ac:dyDescent="0.25">
      <c r="A221" s="3" t="s">
        <v>211</v>
      </c>
      <c r="B221" s="17" t="s">
        <v>1164</v>
      </c>
      <c r="C221" s="1" t="s">
        <v>1260</v>
      </c>
      <c r="D221" s="1">
        <v>2017</v>
      </c>
      <c r="E221" s="1" t="s">
        <v>2459</v>
      </c>
    </row>
    <row r="222" spans="1:5" x14ac:dyDescent="0.25">
      <c r="A222" s="3" t="s">
        <v>212</v>
      </c>
      <c r="B222" s="17" t="s">
        <v>1164</v>
      </c>
      <c r="C222" s="1" t="s">
        <v>1260</v>
      </c>
      <c r="D222" s="1">
        <v>2017</v>
      </c>
      <c r="E222" s="1" t="s">
        <v>2460</v>
      </c>
    </row>
    <row r="223" spans="1:5" x14ac:dyDescent="0.25">
      <c r="A223" s="3" t="s">
        <v>213</v>
      </c>
      <c r="B223" s="17" t="s">
        <v>1164</v>
      </c>
      <c r="C223" s="1" t="s">
        <v>1260</v>
      </c>
      <c r="D223" s="1">
        <v>2017</v>
      </c>
      <c r="E223" s="1" t="s">
        <v>2461</v>
      </c>
    </row>
    <row r="224" spans="1:5" x14ac:dyDescent="0.25">
      <c r="A224" s="3" t="s">
        <v>214</v>
      </c>
      <c r="B224" s="17" t="s">
        <v>1164</v>
      </c>
      <c r="C224" s="1" t="s">
        <v>1260</v>
      </c>
      <c r="D224" s="1">
        <v>2017</v>
      </c>
      <c r="E224" s="1" t="s">
        <v>2462</v>
      </c>
    </row>
    <row r="225" spans="1:5" x14ac:dyDescent="0.25">
      <c r="A225" s="3" t="s">
        <v>215</v>
      </c>
      <c r="B225" s="17" t="s">
        <v>1164</v>
      </c>
      <c r="C225" s="1" t="s">
        <v>1260</v>
      </c>
      <c r="D225" s="1">
        <v>2017</v>
      </c>
      <c r="E225" s="1" t="s">
        <v>2463</v>
      </c>
    </row>
    <row r="226" spans="1:5" x14ac:dyDescent="0.25">
      <c r="A226" s="3" t="s">
        <v>215</v>
      </c>
      <c r="B226" s="17" t="s">
        <v>1164</v>
      </c>
      <c r="C226" s="1" t="s">
        <v>378</v>
      </c>
      <c r="D226" s="1">
        <v>2018</v>
      </c>
      <c r="E226" s="1" t="s">
        <v>2466</v>
      </c>
    </row>
    <row r="227" spans="1:5" x14ac:dyDescent="0.25">
      <c r="A227" s="3" t="s">
        <v>216</v>
      </c>
      <c r="B227" s="17" t="s">
        <v>1164</v>
      </c>
      <c r="C227" s="1" t="s">
        <v>1260</v>
      </c>
      <c r="D227" s="1">
        <v>2017</v>
      </c>
      <c r="E227" s="1" t="s">
        <v>2467</v>
      </c>
    </row>
    <row r="228" spans="1:5" x14ac:dyDescent="0.25">
      <c r="A228" s="3" t="s">
        <v>217</v>
      </c>
      <c r="B228" s="17" t="s">
        <v>1164</v>
      </c>
      <c r="C228" s="1" t="s">
        <v>1260</v>
      </c>
      <c r="D228" s="1">
        <v>2017</v>
      </c>
      <c r="E228" s="1" t="s">
        <v>2468</v>
      </c>
    </row>
    <row r="229" spans="1:5" x14ac:dyDescent="0.25">
      <c r="A229" s="3" t="s">
        <v>218</v>
      </c>
      <c r="B229" s="17" t="s">
        <v>1164</v>
      </c>
      <c r="C229" s="1" t="s">
        <v>1260</v>
      </c>
      <c r="D229" s="1">
        <v>2017</v>
      </c>
      <c r="E229" s="1" t="s">
        <v>2469</v>
      </c>
    </row>
    <row r="230" spans="1:5" x14ac:dyDescent="0.25">
      <c r="A230" s="3" t="s">
        <v>219</v>
      </c>
      <c r="B230" s="17" t="s">
        <v>1164</v>
      </c>
      <c r="C230" s="1" t="s">
        <v>1260</v>
      </c>
      <c r="D230" s="1">
        <v>2017</v>
      </c>
      <c r="E230" s="1" t="s">
        <v>2470</v>
      </c>
    </row>
    <row r="231" spans="1:5" x14ac:dyDescent="0.25">
      <c r="A231" s="3" t="s">
        <v>220</v>
      </c>
      <c r="B231" s="17" t="s">
        <v>1164</v>
      </c>
      <c r="C231" s="1" t="s">
        <v>1260</v>
      </c>
      <c r="D231" s="1">
        <v>2017</v>
      </c>
      <c r="E231" s="1" t="s">
        <v>2471</v>
      </c>
    </row>
    <row r="232" spans="1:5" x14ac:dyDescent="0.25">
      <c r="A232" s="3" t="s">
        <v>221</v>
      </c>
      <c r="B232" s="17" t="s">
        <v>1164</v>
      </c>
      <c r="C232" s="1" t="s">
        <v>1260</v>
      </c>
      <c r="D232" s="1">
        <v>2017</v>
      </c>
      <c r="E232" s="1" t="s">
        <v>2472</v>
      </c>
    </row>
    <row r="233" spans="1:5" x14ac:dyDescent="0.25">
      <c r="A233" s="3" t="s">
        <v>222</v>
      </c>
      <c r="B233" s="17" t="s">
        <v>1164</v>
      </c>
      <c r="C233" s="1" t="s">
        <v>1260</v>
      </c>
      <c r="D233" s="1">
        <v>2017</v>
      </c>
      <c r="E233" s="1" t="s">
        <v>2473</v>
      </c>
    </row>
    <row r="234" spans="1:5" x14ac:dyDescent="0.25">
      <c r="A234" s="14" t="s">
        <v>379</v>
      </c>
      <c r="B234" s="17" t="s">
        <v>1164</v>
      </c>
      <c r="C234" s="1" t="s">
        <v>1038</v>
      </c>
      <c r="D234" s="1">
        <v>2018</v>
      </c>
      <c r="E234" s="1" t="s">
        <v>2474</v>
      </c>
    </row>
    <row r="235" spans="1:5" x14ac:dyDescent="0.25">
      <c r="A235" s="14" t="s">
        <v>379</v>
      </c>
      <c r="B235" s="17" t="s">
        <v>1164</v>
      </c>
      <c r="C235" s="1" t="s">
        <v>1039</v>
      </c>
      <c r="D235" s="1">
        <v>2018</v>
      </c>
      <c r="E235" s="1" t="s">
        <v>2475</v>
      </c>
    </row>
    <row r="236" spans="1:5" x14ac:dyDescent="0.25">
      <c r="A236" s="3" t="s">
        <v>223</v>
      </c>
      <c r="B236" s="17" t="s">
        <v>1164</v>
      </c>
      <c r="C236" s="1" t="s">
        <v>1260</v>
      </c>
      <c r="D236" s="1">
        <v>2017</v>
      </c>
      <c r="E236" s="1" t="s">
        <v>2476</v>
      </c>
    </row>
    <row r="237" spans="1:5" x14ac:dyDescent="0.25">
      <c r="A237" s="3" t="s">
        <v>224</v>
      </c>
      <c r="B237" s="17" t="s">
        <v>1164</v>
      </c>
      <c r="C237" s="1" t="s">
        <v>1260</v>
      </c>
      <c r="D237" s="1">
        <v>2017</v>
      </c>
      <c r="E237" s="1" t="s">
        <v>2477</v>
      </c>
    </row>
    <row r="238" spans="1:5" x14ac:dyDescent="0.25">
      <c r="A238" s="3" t="s">
        <v>225</v>
      </c>
      <c r="B238" s="17" t="s">
        <v>1164</v>
      </c>
      <c r="C238" s="1" t="s">
        <v>1260</v>
      </c>
      <c r="D238" s="1">
        <v>2017</v>
      </c>
      <c r="E238" s="1" t="s">
        <v>2478</v>
      </c>
    </row>
    <row r="239" spans="1:5" x14ac:dyDescent="0.25">
      <c r="A239" s="3" t="s">
        <v>226</v>
      </c>
      <c r="B239" s="17" t="s">
        <v>1164</v>
      </c>
      <c r="C239" s="1" t="s">
        <v>1260</v>
      </c>
      <c r="D239" s="1">
        <v>2017</v>
      </c>
      <c r="E239" s="1" t="s">
        <v>2479</v>
      </c>
    </row>
    <row r="240" spans="1:5" x14ac:dyDescent="0.25">
      <c r="A240" s="3" t="s">
        <v>227</v>
      </c>
      <c r="B240" s="17" t="s">
        <v>1164</v>
      </c>
      <c r="C240" s="1" t="s">
        <v>1260</v>
      </c>
      <c r="D240" s="1">
        <v>2017</v>
      </c>
      <c r="E240" s="1" t="s">
        <v>2480</v>
      </c>
    </row>
    <row r="241" spans="1:5" x14ac:dyDescent="0.25">
      <c r="A241" s="3" t="s">
        <v>228</v>
      </c>
      <c r="B241" s="17" t="s">
        <v>1164</v>
      </c>
      <c r="C241" s="1" t="s">
        <v>1260</v>
      </c>
      <c r="D241" s="1">
        <v>2017</v>
      </c>
      <c r="E241" s="1" t="s">
        <v>2481</v>
      </c>
    </row>
    <row r="242" spans="1:5" x14ac:dyDescent="0.25">
      <c r="A242" s="3" t="s">
        <v>229</v>
      </c>
      <c r="B242" s="17" t="s">
        <v>1164</v>
      </c>
      <c r="C242" s="1" t="s">
        <v>1260</v>
      </c>
      <c r="D242" s="1">
        <v>2017</v>
      </c>
      <c r="E242" s="1" t="s">
        <v>2482</v>
      </c>
    </row>
    <row r="243" spans="1:5" x14ac:dyDescent="0.25">
      <c r="A243" s="3" t="s">
        <v>230</v>
      </c>
      <c r="B243" s="17" t="s">
        <v>1164</v>
      </c>
      <c r="C243" s="1" t="s">
        <v>1260</v>
      </c>
      <c r="D243" s="1">
        <v>2017</v>
      </c>
      <c r="E243" s="1" t="s">
        <v>2483</v>
      </c>
    </row>
    <row r="244" spans="1:5" x14ac:dyDescent="0.25">
      <c r="A244" s="3" t="s">
        <v>231</v>
      </c>
      <c r="B244" s="17" t="s">
        <v>1164</v>
      </c>
      <c r="C244" s="1" t="s">
        <v>1260</v>
      </c>
      <c r="D244" s="1">
        <v>2017</v>
      </c>
      <c r="E244" s="1" t="s">
        <v>2484</v>
      </c>
    </row>
    <row r="245" spans="1:5" x14ac:dyDescent="0.25">
      <c r="A245" s="3" t="s">
        <v>232</v>
      </c>
      <c r="B245" s="17" t="s">
        <v>1164</v>
      </c>
      <c r="C245" s="1" t="s">
        <v>1260</v>
      </c>
      <c r="D245" s="1">
        <v>2017</v>
      </c>
      <c r="E245" s="1" t="s">
        <v>2485</v>
      </c>
    </row>
    <row r="246" spans="1:5" x14ac:dyDescent="0.25">
      <c r="A246" s="3" t="s">
        <v>233</v>
      </c>
      <c r="B246" s="17" t="s">
        <v>1164</v>
      </c>
      <c r="C246" s="1" t="s">
        <v>1260</v>
      </c>
      <c r="D246" s="1">
        <v>2017</v>
      </c>
      <c r="E246" s="1" t="s">
        <v>2486</v>
      </c>
    </row>
    <row r="247" spans="1:5" x14ac:dyDescent="0.25">
      <c r="A247" s="3" t="s">
        <v>234</v>
      </c>
      <c r="B247" s="17" t="s">
        <v>1164</v>
      </c>
      <c r="C247" s="1" t="s">
        <v>1260</v>
      </c>
      <c r="D247" s="1">
        <v>2017</v>
      </c>
      <c r="E247" s="1" t="s">
        <v>2487</v>
      </c>
    </row>
    <row r="248" spans="1:5" x14ac:dyDescent="0.25">
      <c r="A248" s="3" t="s">
        <v>235</v>
      </c>
      <c r="B248" s="17" t="s">
        <v>1164</v>
      </c>
      <c r="C248" s="1" t="s">
        <v>1260</v>
      </c>
      <c r="D248" s="1">
        <v>2017</v>
      </c>
      <c r="E248" s="1" t="s">
        <v>2488</v>
      </c>
    </row>
    <row r="249" spans="1:5" x14ac:dyDescent="0.25">
      <c r="A249" s="3" t="s">
        <v>236</v>
      </c>
      <c r="B249" s="17" t="s">
        <v>1164</v>
      </c>
      <c r="C249" s="1" t="s">
        <v>1260</v>
      </c>
      <c r="D249" s="1">
        <v>2017</v>
      </c>
      <c r="E249" s="1" t="s">
        <v>2489</v>
      </c>
    </row>
    <row r="250" spans="1:5" x14ac:dyDescent="0.25">
      <c r="A250" s="3" t="s">
        <v>236</v>
      </c>
      <c r="B250" s="17" t="s">
        <v>1164</v>
      </c>
      <c r="C250" s="1" t="s">
        <v>1038</v>
      </c>
      <c r="D250" s="1">
        <v>2018</v>
      </c>
      <c r="E250" s="1" t="s">
        <v>2490</v>
      </c>
    </row>
    <row r="251" spans="1:5" x14ac:dyDescent="0.25">
      <c r="A251" s="3" t="s">
        <v>236</v>
      </c>
      <c r="B251" s="17" t="s">
        <v>1164</v>
      </c>
      <c r="C251" s="1" t="s">
        <v>1040</v>
      </c>
      <c r="D251" s="1">
        <v>2018</v>
      </c>
      <c r="E251" s="1" t="s">
        <v>2491</v>
      </c>
    </row>
    <row r="252" spans="1:5" x14ac:dyDescent="0.25">
      <c r="A252" s="3" t="s">
        <v>237</v>
      </c>
      <c r="B252" s="17" t="s">
        <v>1164</v>
      </c>
      <c r="C252" s="1" t="s">
        <v>1260</v>
      </c>
      <c r="D252" s="1">
        <v>2017</v>
      </c>
      <c r="E252" s="1" t="s">
        <v>2492</v>
      </c>
    </row>
    <row r="253" spans="1:5" x14ac:dyDescent="0.25">
      <c r="A253" s="3" t="s">
        <v>238</v>
      </c>
      <c r="B253" s="17" t="s">
        <v>1164</v>
      </c>
      <c r="C253" s="1" t="s">
        <v>1260</v>
      </c>
      <c r="D253" s="1">
        <v>2017</v>
      </c>
      <c r="E253" s="1" t="s">
        <v>2493</v>
      </c>
    </row>
    <row r="254" spans="1:5" x14ac:dyDescent="0.25">
      <c r="A254" s="3" t="s">
        <v>239</v>
      </c>
      <c r="B254" s="17" t="s">
        <v>1164</v>
      </c>
      <c r="C254" s="1" t="s">
        <v>378</v>
      </c>
      <c r="D254" s="1">
        <v>2018</v>
      </c>
      <c r="E254" s="1" t="s">
        <v>2494</v>
      </c>
    </row>
    <row r="255" spans="1:5" x14ac:dyDescent="0.25">
      <c r="A255" s="3" t="s">
        <v>240</v>
      </c>
      <c r="B255" s="17" t="s">
        <v>1164</v>
      </c>
      <c r="C255" s="1" t="s">
        <v>1260</v>
      </c>
      <c r="D255" s="1">
        <v>2017</v>
      </c>
      <c r="E255" s="1" t="s">
        <v>2495</v>
      </c>
    </row>
    <row r="256" spans="1:5" x14ac:dyDescent="0.25">
      <c r="A256" s="3" t="s">
        <v>241</v>
      </c>
      <c r="B256" s="17" t="s">
        <v>1164</v>
      </c>
      <c r="C256" s="1" t="s">
        <v>1260</v>
      </c>
      <c r="D256" s="1">
        <v>2017</v>
      </c>
      <c r="E256" s="1" t="s">
        <v>2496</v>
      </c>
    </row>
    <row r="257" spans="1:5" x14ac:dyDescent="0.25">
      <c r="A257" s="3" t="s">
        <v>242</v>
      </c>
      <c r="B257" s="17" t="s">
        <v>1164</v>
      </c>
      <c r="C257" s="1" t="s">
        <v>378</v>
      </c>
      <c r="D257" s="1">
        <v>2018</v>
      </c>
      <c r="E257" s="1" t="s">
        <v>2497</v>
      </c>
    </row>
    <row r="258" spans="1:5" x14ac:dyDescent="0.25">
      <c r="A258" s="3" t="s">
        <v>243</v>
      </c>
      <c r="B258" s="17" t="s">
        <v>1164</v>
      </c>
      <c r="C258" s="1" t="s">
        <v>378</v>
      </c>
      <c r="D258" s="1">
        <v>2018</v>
      </c>
      <c r="E258" s="1" t="s">
        <v>2498</v>
      </c>
    </row>
    <row r="259" spans="1:5" x14ac:dyDescent="0.25">
      <c r="A259" s="3" t="s">
        <v>244</v>
      </c>
      <c r="B259" s="17" t="s">
        <v>1164</v>
      </c>
      <c r="C259" s="1" t="s">
        <v>1260</v>
      </c>
      <c r="D259" s="1">
        <v>2017</v>
      </c>
      <c r="E259" s="1" t="s">
        <v>2499</v>
      </c>
    </row>
    <row r="260" spans="1:5" x14ac:dyDescent="0.25">
      <c r="A260" s="3" t="s">
        <v>245</v>
      </c>
      <c r="B260" s="17" t="s">
        <v>1164</v>
      </c>
      <c r="C260" s="1" t="s">
        <v>1260</v>
      </c>
      <c r="D260" s="1">
        <v>2017</v>
      </c>
      <c r="E260" s="1" t="s">
        <v>2500</v>
      </c>
    </row>
    <row r="261" spans="1:5" x14ac:dyDescent="0.25">
      <c r="A261" s="3" t="s">
        <v>246</v>
      </c>
      <c r="B261" s="17" t="s">
        <v>1164</v>
      </c>
      <c r="C261" s="1" t="s">
        <v>1260</v>
      </c>
      <c r="D261" s="1">
        <v>2017</v>
      </c>
      <c r="E261" s="1" t="s">
        <v>2501</v>
      </c>
    </row>
    <row r="262" spans="1:5" x14ac:dyDescent="0.25">
      <c r="A262" s="3" t="s">
        <v>247</v>
      </c>
      <c r="B262" s="17" t="s">
        <v>1164</v>
      </c>
      <c r="C262" s="1" t="s">
        <v>378</v>
      </c>
      <c r="D262" s="1">
        <v>2018</v>
      </c>
      <c r="E262" s="1" t="s">
        <v>2502</v>
      </c>
    </row>
    <row r="263" spans="1:5" x14ac:dyDescent="0.25">
      <c r="A263" s="3" t="s">
        <v>248</v>
      </c>
      <c r="B263" s="17" t="s">
        <v>1164</v>
      </c>
      <c r="C263" s="1" t="s">
        <v>1260</v>
      </c>
      <c r="D263" s="1">
        <v>2017</v>
      </c>
      <c r="E263" s="1" t="s">
        <v>2503</v>
      </c>
    </row>
    <row r="264" spans="1:5" x14ac:dyDescent="0.25">
      <c r="A264" s="3" t="s">
        <v>249</v>
      </c>
      <c r="B264" s="17" t="s">
        <v>1164</v>
      </c>
      <c r="C264" s="1" t="s">
        <v>378</v>
      </c>
      <c r="D264" s="1">
        <v>2018</v>
      </c>
      <c r="E264" s="1" t="s">
        <v>2504</v>
      </c>
    </row>
    <row r="265" spans="1:5" x14ac:dyDescent="0.25">
      <c r="A265" s="3" t="s">
        <v>250</v>
      </c>
      <c r="B265" s="17" t="s">
        <v>1164</v>
      </c>
      <c r="C265" s="1" t="s">
        <v>1260</v>
      </c>
      <c r="D265" s="1">
        <v>2017</v>
      </c>
      <c r="E265" s="1" t="s">
        <v>2505</v>
      </c>
    </row>
    <row r="266" spans="1:5" x14ac:dyDescent="0.25">
      <c r="A266" s="3" t="s">
        <v>251</v>
      </c>
      <c r="B266" s="17" t="s">
        <v>1164</v>
      </c>
      <c r="C266" s="1" t="s">
        <v>1260</v>
      </c>
      <c r="D266" s="1">
        <v>2017</v>
      </c>
      <c r="E266" s="1" t="s">
        <v>2506</v>
      </c>
    </row>
    <row r="267" spans="1:5" x14ac:dyDescent="0.25">
      <c r="A267" s="3" t="s">
        <v>252</v>
      </c>
      <c r="B267" s="17" t="s">
        <v>1164</v>
      </c>
      <c r="C267" s="1" t="s">
        <v>1260</v>
      </c>
      <c r="D267" s="1">
        <v>2017</v>
      </c>
      <c r="E267" s="1" t="s">
        <v>2507</v>
      </c>
    </row>
    <row r="268" spans="1:5" x14ac:dyDescent="0.25">
      <c r="A268" s="3" t="s">
        <v>253</v>
      </c>
      <c r="B268" s="17" t="s">
        <v>1164</v>
      </c>
      <c r="C268" s="1" t="s">
        <v>1260</v>
      </c>
      <c r="D268" s="1">
        <v>2017</v>
      </c>
      <c r="E268" s="1" t="s">
        <v>2508</v>
      </c>
    </row>
    <row r="269" spans="1:5" x14ac:dyDescent="0.25">
      <c r="A269" s="3" t="s">
        <v>254</v>
      </c>
      <c r="B269" s="17" t="s">
        <v>1164</v>
      </c>
      <c r="C269" s="1" t="s">
        <v>378</v>
      </c>
      <c r="D269" s="1">
        <v>2018</v>
      </c>
      <c r="E269" s="1" t="s">
        <v>2509</v>
      </c>
    </row>
    <row r="270" spans="1:5" x14ac:dyDescent="0.25">
      <c r="A270" s="3" t="s">
        <v>255</v>
      </c>
      <c r="B270" s="17" t="s">
        <v>1164</v>
      </c>
      <c r="C270" s="1" t="s">
        <v>1260</v>
      </c>
      <c r="D270" s="1">
        <v>2017</v>
      </c>
      <c r="E270" s="1" t="s">
        <v>2510</v>
      </c>
    </row>
    <row r="271" spans="1:5" x14ac:dyDescent="0.25">
      <c r="A271" s="3" t="s">
        <v>256</v>
      </c>
      <c r="B271" s="17" t="s">
        <v>1164</v>
      </c>
      <c r="C271" s="1" t="s">
        <v>1260</v>
      </c>
      <c r="D271" s="1">
        <v>2017</v>
      </c>
      <c r="E271" s="1" t="s">
        <v>2511</v>
      </c>
    </row>
    <row r="272" spans="1:5" x14ac:dyDescent="0.25">
      <c r="A272" s="3" t="s">
        <v>257</v>
      </c>
      <c r="B272" s="17" t="s">
        <v>1164</v>
      </c>
      <c r="C272" s="1" t="s">
        <v>1260</v>
      </c>
      <c r="D272" s="1">
        <v>2017</v>
      </c>
      <c r="E272" s="1" t="s">
        <v>2512</v>
      </c>
    </row>
    <row r="273" spans="1:5" x14ac:dyDescent="0.25">
      <c r="A273" s="3" t="s">
        <v>258</v>
      </c>
      <c r="B273" s="17" t="s">
        <v>1164</v>
      </c>
      <c r="C273" s="1" t="s">
        <v>378</v>
      </c>
      <c r="D273" s="1">
        <v>2018</v>
      </c>
      <c r="E273" s="1" t="s">
        <v>2513</v>
      </c>
    </row>
    <row r="274" spans="1:5" x14ac:dyDescent="0.25">
      <c r="A274" s="3" t="s">
        <v>259</v>
      </c>
      <c r="B274" s="17" t="s">
        <v>1164</v>
      </c>
      <c r="C274" s="1" t="s">
        <v>378</v>
      </c>
      <c r="D274" s="1">
        <v>2018</v>
      </c>
      <c r="E274" s="1" t="s">
        <v>2514</v>
      </c>
    </row>
    <row r="275" spans="1:5" x14ac:dyDescent="0.25">
      <c r="A275" s="3" t="s">
        <v>260</v>
      </c>
      <c r="B275" s="17" t="s">
        <v>1164</v>
      </c>
      <c r="C275" s="1" t="s">
        <v>1260</v>
      </c>
      <c r="D275" s="1">
        <v>2017</v>
      </c>
      <c r="E275" s="1" t="s">
        <v>2515</v>
      </c>
    </row>
    <row r="276" spans="1:5" x14ac:dyDescent="0.25">
      <c r="A276" s="3" t="s">
        <v>261</v>
      </c>
      <c r="B276" s="17" t="s">
        <v>1164</v>
      </c>
      <c r="C276" s="1" t="s">
        <v>378</v>
      </c>
      <c r="D276" s="1">
        <v>2018</v>
      </c>
      <c r="E276" s="1" t="s">
        <v>2516</v>
      </c>
    </row>
    <row r="277" spans="1:5" x14ac:dyDescent="0.25">
      <c r="A277" s="3" t="s">
        <v>262</v>
      </c>
      <c r="B277" s="17" t="s">
        <v>1164</v>
      </c>
      <c r="C277" s="1" t="s">
        <v>1260</v>
      </c>
      <c r="D277" s="1">
        <v>2017</v>
      </c>
      <c r="E277" s="1" t="s">
        <v>2517</v>
      </c>
    </row>
    <row r="278" spans="1:5" x14ac:dyDescent="0.25">
      <c r="A278" s="3" t="s">
        <v>263</v>
      </c>
      <c r="B278" s="17" t="s">
        <v>1164</v>
      </c>
      <c r="C278" s="1" t="s">
        <v>1260</v>
      </c>
      <c r="D278" s="1">
        <v>2017</v>
      </c>
      <c r="E278" s="1" t="s">
        <v>2518</v>
      </c>
    </row>
    <row r="279" spans="1:5" x14ac:dyDescent="0.25">
      <c r="A279" s="3" t="s">
        <v>264</v>
      </c>
      <c r="B279" s="17" t="s">
        <v>1164</v>
      </c>
      <c r="C279" s="1" t="s">
        <v>1260</v>
      </c>
      <c r="D279" s="1">
        <v>2017</v>
      </c>
      <c r="E279" s="1" t="s">
        <v>2519</v>
      </c>
    </row>
    <row r="280" spans="1:5" x14ac:dyDescent="0.25">
      <c r="A280" s="3" t="s">
        <v>265</v>
      </c>
      <c r="B280" s="17" t="s">
        <v>1164</v>
      </c>
      <c r="C280" s="1" t="s">
        <v>1260</v>
      </c>
      <c r="D280" s="1">
        <v>2017</v>
      </c>
      <c r="E280" s="1" t="s">
        <v>2520</v>
      </c>
    </row>
    <row r="281" spans="1:5" x14ac:dyDescent="0.25">
      <c r="A281" s="3" t="s">
        <v>266</v>
      </c>
      <c r="B281" s="17" t="s">
        <v>1164</v>
      </c>
      <c r="C281" s="1" t="s">
        <v>1260</v>
      </c>
      <c r="D281" s="1">
        <v>2017</v>
      </c>
      <c r="E281" s="1" t="s">
        <v>2521</v>
      </c>
    </row>
    <row r="282" spans="1:5" x14ac:dyDescent="0.25">
      <c r="A282" s="3" t="s">
        <v>266</v>
      </c>
      <c r="B282" s="17" t="s">
        <v>1164</v>
      </c>
      <c r="C282" s="1" t="s">
        <v>1038</v>
      </c>
      <c r="D282" s="1">
        <v>2018</v>
      </c>
      <c r="E282" s="1" t="s">
        <v>2522</v>
      </c>
    </row>
    <row r="283" spans="1:5" x14ac:dyDescent="0.25">
      <c r="A283" s="3" t="s">
        <v>266</v>
      </c>
      <c r="B283" s="17" t="s">
        <v>1164</v>
      </c>
      <c r="C283" s="1" t="s">
        <v>1039</v>
      </c>
      <c r="D283" s="1">
        <v>2018</v>
      </c>
      <c r="E283" s="1" t="s">
        <v>2523</v>
      </c>
    </row>
    <row r="284" spans="1:5" x14ac:dyDescent="0.25">
      <c r="A284" s="3" t="s">
        <v>267</v>
      </c>
      <c r="B284" s="17" t="s">
        <v>1164</v>
      </c>
      <c r="C284" s="1" t="s">
        <v>1260</v>
      </c>
      <c r="D284" s="1">
        <v>2017</v>
      </c>
      <c r="E284" s="1" t="s">
        <v>2524</v>
      </c>
    </row>
    <row r="285" spans="1:5" x14ac:dyDescent="0.25">
      <c r="A285" s="3" t="s">
        <v>268</v>
      </c>
      <c r="B285" s="17" t="s">
        <v>1164</v>
      </c>
      <c r="C285" s="1" t="s">
        <v>1260</v>
      </c>
      <c r="D285" s="1">
        <v>2017</v>
      </c>
      <c r="E285" s="1" t="s">
        <v>2525</v>
      </c>
    </row>
    <row r="286" spans="1:5" x14ac:dyDescent="0.25">
      <c r="A286" s="3" t="s">
        <v>269</v>
      </c>
      <c r="B286" s="17" t="s">
        <v>1164</v>
      </c>
      <c r="C286" s="1" t="s">
        <v>1260</v>
      </c>
      <c r="D286" s="1">
        <v>2017</v>
      </c>
      <c r="E286" s="1" t="s">
        <v>2526</v>
      </c>
    </row>
    <row r="287" spans="1:5" x14ac:dyDescent="0.25">
      <c r="A287" s="3" t="s">
        <v>270</v>
      </c>
      <c r="B287" s="17" t="s">
        <v>1164</v>
      </c>
      <c r="C287" s="1" t="s">
        <v>378</v>
      </c>
      <c r="D287" s="1">
        <v>2018</v>
      </c>
      <c r="E287" s="1" t="s">
        <v>2527</v>
      </c>
    </row>
    <row r="288" spans="1:5" x14ac:dyDescent="0.25">
      <c r="A288" s="3" t="s">
        <v>271</v>
      </c>
      <c r="B288" s="17" t="s">
        <v>1164</v>
      </c>
      <c r="C288" s="1" t="s">
        <v>1260</v>
      </c>
      <c r="D288" s="1">
        <v>2017</v>
      </c>
      <c r="E288" s="1" t="s">
        <v>2532</v>
      </c>
    </row>
    <row r="289" spans="1:5" x14ac:dyDescent="0.25">
      <c r="A289" s="3" t="s">
        <v>272</v>
      </c>
      <c r="B289" s="17" t="s">
        <v>1164</v>
      </c>
      <c r="C289" s="1" t="s">
        <v>1260</v>
      </c>
      <c r="D289" s="1">
        <v>2017</v>
      </c>
      <c r="E289" s="1" t="s">
        <v>2533</v>
      </c>
    </row>
    <row r="290" spans="1:5" x14ac:dyDescent="0.25">
      <c r="A290" s="3" t="s">
        <v>273</v>
      </c>
      <c r="B290" s="17" t="s">
        <v>1164</v>
      </c>
      <c r="C290" s="1" t="s">
        <v>1260</v>
      </c>
      <c r="D290" s="1">
        <v>2017</v>
      </c>
      <c r="E290" s="1" t="s">
        <v>2528</v>
      </c>
    </row>
    <row r="291" spans="1:5" x14ac:dyDescent="0.25">
      <c r="A291" s="3" t="s">
        <v>274</v>
      </c>
      <c r="B291" s="17" t="s">
        <v>1164</v>
      </c>
      <c r="C291" s="1" t="s">
        <v>1260</v>
      </c>
      <c r="D291" s="1">
        <v>2017</v>
      </c>
      <c r="E291" s="1" t="s">
        <v>2529</v>
      </c>
    </row>
    <row r="292" spans="1:5" x14ac:dyDescent="0.25">
      <c r="A292" s="3" t="s">
        <v>275</v>
      </c>
      <c r="B292" s="17" t="s">
        <v>1164</v>
      </c>
      <c r="C292" s="1" t="s">
        <v>1260</v>
      </c>
      <c r="D292" s="1">
        <v>2017</v>
      </c>
      <c r="E292" s="1" t="s">
        <v>2530</v>
      </c>
    </row>
    <row r="293" spans="1:5" x14ac:dyDescent="0.25">
      <c r="A293" s="3" t="s">
        <v>276</v>
      </c>
      <c r="B293" s="17" t="s">
        <v>1164</v>
      </c>
      <c r="C293" s="1" t="s">
        <v>1260</v>
      </c>
      <c r="D293" s="1">
        <v>2017</v>
      </c>
      <c r="E293" s="1" t="s">
        <v>2531</v>
      </c>
    </row>
    <row r="294" spans="1:5" x14ac:dyDescent="0.25">
      <c r="A294" s="3" t="s">
        <v>276</v>
      </c>
      <c r="B294" s="17" t="s">
        <v>1164</v>
      </c>
      <c r="C294" s="1" t="s">
        <v>1038</v>
      </c>
      <c r="D294" s="1">
        <v>2018</v>
      </c>
      <c r="E294" s="1" t="s">
        <v>2534</v>
      </c>
    </row>
    <row r="295" spans="1:5" x14ac:dyDescent="0.25">
      <c r="A295" s="3" t="s">
        <v>276</v>
      </c>
      <c r="B295" s="17" t="s">
        <v>1164</v>
      </c>
      <c r="C295" s="1" t="s">
        <v>1039</v>
      </c>
      <c r="D295" s="1">
        <v>2018</v>
      </c>
      <c r="E295" s="1" t="s">
        <v>2535</v>
      </c>
    </row>
    <row r="296" spans="1:5" x14ac:dyDescent="0.25">
      <c r="A296" s="3" t="s">
        <v>277</v>
      </c>
      <c r="B296" s="17" t="s">
        <v>1164</v>
      </c>
      <c r="C296" s="1" t="s">
        <v>1260</v>
      </c>
      <c r="D296" s="1">
        <v>2017</v>
      </c>
      <c r="E296" s="1" t="s">
        <v>2536</v>
      </c>
    </row>
    <row r="297" spans="1:5" x14ac:dyDescent="0.25">
      <c r="A297" s="3" t="s">
        <v>278</v>
      </c>
      <c r="B297" s="17" t="s">
        <v>1164</v>
      </c>
      <c r="C297" s="1" t="s">
        <v>1260</v>
      </c>
      <c r="D297" s="1">
        <v>2017</v>
      </c>
      <c r="E297" s="1" t="s">
        <v>2537</v>
      </c>
    </row>
    <row r="298" spans="1:5" x14ac:dyDescent="0.25">
      <c r="A298" s="3" t="s">
        <v>279</v>
      </c>
      <c r="B298" s="17" t="s">
        <v>1164</v>
      </c>
      <c r="C298" s="1" t="s">
        <v>1260</v>
      </c>
      <c r="D298" s="1">
        <v>2017</v>
      </c>
      <c r="E298" s="1" t="s">
        <v>2538</v>
      </c>
    </row>
    <row r="299" spans="1:5" x14ac:dyDescent="0.25">
      <c r="A299" s="3" t="s">
        <v>280</v>
      </c>
      <c r="B299" s="17" t="s">
        <v>1164</v>
      </c>
      <c r="C299" s="1" t="s">
        <v>1260</v>
      </c>
      <c r="D299" s="1">
        <v>2017</v>
      </c>
      <c r="E299" s="1" t="s">
        <v>2539</v>
      </c>
    </row>
    <row r="300" spans="1:5" x14ac:dyDescent="0.25">
      <c r="A300" s="3" t="s">
        <v>281</v>
      </c>
      <c r="B300" s="17" t="s">
        <v>1164</v>
      </c>
      <c r="C300" s="1" t="s">
        <v>1260</v>
      </c>
      <c r="D300" s="1">
        <v>2017</v>
      </c>
      <c r="E300" s="1" t="s">
        <v>2540</v>
      </c>
    </row>
    <row r="301" spans="1:5" x14ac:dyDescent="0.25">
      <c r="A301" s="3" t="s">
        <v>282</v>
      </c>
      <c r="B301" s="17" t="s">
        <v>1164</v>
      </c>
      <c r="C301" s="1" t="s">
        <v>1260</v>
      </c>
      <c r="D301" s="1">
        <v>2017</v>
      </c>
      <c r="E301" s="1" t="s">
        <v>2541</v>
      </c>
    </row>
    <row r="302" spans="1:5" x14ac:dyDescent="0.25">
      <c r="A302" s="3" t="s">
        <v>283</v>
      </c>
      <c r="B302" s="17" t="s">
        <v>1164</v>
      </c>
      <c r="C302" s="1" t="s">
        <v>1260</v>
      </c>
      <c r="D302" s="1">
        <v>2017</v>
      </c>
      <c r="E302" s="1" t="s">
        <v>2542</v>
      </c>
    </row>
    <row r="303" spans="1:5" x14ac:dyDescent="0.25">
      <c r="A303" s="3" t="s">
        <v>284</v>
      </c>
      <c r="B303" s="17" t="s">
        <v>1164</v>
      </c>
      <c r="C303" s="1" t="s">
        <v>1260</v>
      </c>
      <c r="D303" s="1">
        <v>2017</v>
      </c>
      <c r="E303" s="1" t="s">
        <v>2543</v>
      </c>
    </row>
    <row r="304" spans="1:5" x14ac:dyDescent="0.25">
      <c r="A304" s="3" t="s">
        <v>285</v>
      </c>
      <c r="B304" s="17" t="s">
        <v>1164</v>
      </c>
      <c r="C304" s="1" t="s">
        <v>1260</v>
      </c>
      <c r="D304" s="1">
        <v>2017</v>
      </c>
      <c r="E304" s="1" t="s">
        <v>2544</v>
      </c>
    </row>
    <row r="305" spans="1:5" x14ac:dyDescent="0.25">
      <c r="A305" s="3" t="s">
        <v>286</v>
      </c>
      <c r="B305" s="17" t="s">
        <v>1164</v>
      </c>
      <c r="C305" s="1" t="s">
        <v>1260</v>
      </c>
      <c r="D305" s="1">
        <v>2017</v>
      </c>
      <c r="E305" s="1" t="s">
        <v>2545</v>
      </c>
    </row>
    <row r="306" spans="1:5" x14ac:dyDescent="0.25">
      <c r="A306" s="3" t="s">
        <v>287</v>
      </c>
      <c r="B306" s="17" t="s">
        <v>1164</v>
      </c>
      <c r="C306" s="1" t="s">
        <v>1260</v>
      </c>
      <c r="D306" s="1">
        <v>2017</v>
      </c>
      <c r="E306" s="1" t="s">
        <v>2546</v>
      </c>
    </row>
    <row r="307" spans="1:5" x14ac:dyDescent="0.25">
      <c r="A307" s="3" t="s">
        <v>288</v>
      </c>
      <c r="B307" s="17" t="s">
        <v>1164</v>
      </c>
      <c r="C307" s="1" t="s">
        <v>1260</v>
      </c>
      <c r="D307" s="1">
        <v>2017</v>
      </c>
      <c r="E307" s="1" t="s">
        <v>2547</v>
      </c>
    </row>
    <row r="308" spans="1:5" x14ac:dyDescent="0.25">
      <c r="A308" s="3" t="s">
        <v>289</v>
      </c>
      <c r="B308" s="17" t="s">
        <v>1164</v>
      </c>
      <c r="C308" s="1" t="s">
        <v>1260</v>
      </c>
      <c r="D308" s="1">
        <v>2017</v>
      </c>
      <c r="E308" s="1" t="s">
        <v>2548</v>
      </c>
    </row>
    <row r="309" spans="1:5" x14ac:dyDescent="0.25">
      <c r="A309" s="3" t="s">
        <v>290</v>
      </c>
      <c r="B309" s="17" t="s">
        <v>1164</v>
      </c>
      <c r="C309" s="1" t="s">
        <v>1260</v>
      </c>
      <c r="D309" s="1">
        <v>2017</v>
      </c>
      <c r="E309" s="1" t="s">
        <v>2549</v>
      </c>
    </row>
    <row r="310" spans="1:5" x14ac:dyDescent="0.25">
      <c r="A310" s="3" t="s">
        <v>291</v>
      </c>
      <c r="B310" s="17" t="s">
        <v>1164</v>
      </c>
      <c r="C310" s="1" t="s">
        <v>1260</v>
      </c>
      <c r="D310" s="1">
        <v>2017</v>
      </c>
      <c r="E310" s="1" t="s">
        <v>2550</v>
      </c>
    </row>
    <row r="311" spans="1:5" x14ac:dyDescent="0.25">
      <c r="A311" s="3" t="s">
        <v>292</v>
      </c>
      <c r="B311" s="17" t="s">
        <v>1164</v>
      </c>
      <c r="C311" s="1" t="s">
        <v>1260</v>
      </c>
      <c r="D311" s="1">
        <v>2017</v>
      </c>
      <c r="E311" s="1" t="s">
        <v>2551</v>
      </c>
    </row>
    <row r="312" spans="1:5" x14ac:dyDescent="0.25">
      <c r="A312" s="3" t="s">
        <v>292</v>
      </c>
      <c r="B312" s="17" t="s">
        <v>1164</v>
      </c>
      <c r="C312" s="1" t="s">
        <v>1038</v>
      </c>
      <c r="D312" s="1">
        <v>2018</v>
      </c>
      <c r="E312" s="1" t="s">
        <v>2552</v>
      </c>
    </row>
    <row r="313" spans="1:5" x14ac:dyDescent="0.25">
      <c r="A313" s="3" t="s">
        <v>292</v>
      </c>
      <c r="B313" s="17" t="s">
        <v>1164</v>
      </c>
      <c r="C313" s="1" t="s">
        <v>1039</v>
      </c>
      <c r="D313" s="1">
        <v>2018</v>
      </c>
      <c r="E313" s="1" t="s">
        <v>2553</v>
      </c>
    </row>
    <row r="314" spans="1:5" x14ac:dyDescent="0.25">
      <c r="A314" s="3" t="s">
        <v>293</v>
      </c>
      <c r="B314" s="17" t="s">
        <v>1164</v>
      </c>
      <c r="C314" s="1" t="s">
        <v>378</v>
      </c>
      <c r="D314" s="1">
        <v>2018</v>
      </c>
      <c r="E314" s="1" t="s">
        <v>2554</v>
      </c>
    </row>
    <row r="315" spans="1:5" x14ac:dyDescent="0.25">
      <c r="A315" s="3" t="s">
        <v>294</v>
      </c>
      <c r="B315" s="17" t="s">
        <v>1164</v>
      </c>
      <c r="C315" s="1" t="s">
        <v>378</v>
      </c>
      <c r="D315" s="1">
        <v>2018</v>
      </c>
      <c r="E315" s="1" t="s">
        <v>2555</v>
      </c>
    </row>
    <row r="316" spans="1:5" x14ac:dyDescent="0.25">
      <c r="A316" s="3" t="s">
        <v>295</v>
      </c>
      <c r="B316" s="17" t="s">
        <v>1164</v>
      </c>
      <c r="C316" s="1" t="s">
        <v>1260</v>
      </c>
      <c r="D316" s="1">
        <v>2017</v>
      </c>
      <c r="E316" s="1" t="s">
        <v>2556</v>
      </c>
    </row>
    <row r="317" spans="1:5" x14ac:dyDescent="0.25">
      <c r="A317" s="3" t="s">
        <v>296</v>
      </c>
      <c r="B317" s="17" t="s">
        <v>1164</v>
      </c>
      <c r="C317" s="1" t="s">
        <v>378</v>
      </c>
      <c r="D317" s="1">
        <v>2018</v>
      </c>
      <c r="E317" s="1" t="s">
        <v>2557</v>
      </c>
    </row>
    <row r="318" spans="1:5" x14ac:dyDescent="0.25">
      <c r="A318" s="3" t="s">
        <v>297</v>
      </c>
      <c r="B318" s="17" t="s">
        <v>1164</v>
      </c>
      <c r="C318" s="1" t="s">
        <v>1260</v>
      </c>
      <c r="D318" s="1">
        <v>2017</v>
      </c>
      <c r="E318" s="1" t="s">
        <v>2558</v>
      </c>
    </row>
    <row r="319" spans="1:5" x14ac:dyDescent="0.25">
      <c r="A319" s="3" t="s">
        <v>298</v>
      </c>
      <c r="B319" s="17" t="s">
        <v>1164</v>
      </c>
      <c r="C319" s="1" t="s">
        <v>1260</v>
      </c>
      <c r="D319" s="1">
        <v>2017</v>
      </c>
      <c r="E319" s="1" t="s">
        <v>2559</v>
      </c>
    </row>
    <row r="320" spans="1:5" x14ac:dyDescent="0.25">
      <c r="A320" s="3" t="s">
        <v>299</v>
      </c>
      <c r="B320" s="17" t="s">
        <v>1164</v>
      </c>
      <c r="C320" s="1" t="s">
        <v>1260</v>
      </c>
      <c r="D320" s="1">
        <v>2017</v>
      </c>
      <c r="E320" s="1" t="s">
        <v>2560</v>
      </c>
    </row>
    <row r="321" spans="1:5" x14ac:dyDescent="0.25">
      <c r="A321" s="3" t="s">
        <v>300</v>
      </c>
      <c r="B321" s="17" t="s">
        <v>1164</v>
      </c>
      <c r="C321" s="1" t="s">
        <v>1260</v>
      </c>
      <c r="D321" s="1">
        <v>2017</v>
      </c>
      <c r="E321" s="1" t="s">
        <v>2561</v>
      </c>
    </row>
    <row r="322" spans="1:5" x14ac:dyDescent="0.25">
      <c r="A322" s="3" t="s">
        <v>301</v>
      </c>
      <c r="B322" s="17" t="s">
        <v>1164</v>
      </c>
      <c r="C322" s="1" t="s">
        <v>1260</v>
      </c>
      <c r="D322" s="1">
        <v>2017</v>
      </c>
      <c r="E322" s="1" t="s">
        <v>2562</v>
      </c>
    </row>
    <row r="323" spans="1:5" x14ac:dyDescent="0.25">
      <c r="A323" s="3" t="s">
        <v>302</v>
      </c>
      <c r="B323" s="17" t="s">
        <v>1164</v>
      </c>
      <c r="C323" s="1" t="s">
        <v>1260</v>
      </c>
      <c r="D323" s="1">
        <v>2017</v>
      </c>
      <c r="E323" s="1" t="s">
        <v>2563</v>
      </c>
    </row>
    <row r="324" spans="1:5" x14ac:dyDescent="0.25">
      <c r="A324" s="3" t="s">
        <v>303</v>
      </c>
      <c r="B324" s="17" t="s">
        <v>1164</v>
      </c>
      <c r="C324" s="1" t="s">
        <v>1260</v>
      </c>
      <c r="D324" s="1">
        <v>2017</v>
      </c>
      <c r="E324" s="1" t="s">
        <v>2564</v>
      </c>
    </row>
    <row r="325" spans="1:5" x14ac:dyDescent="0.25">
      <c r="A325" s="3" t="s">
        <v>304</v>
      </c>
      <c r="B325" s="17" t="s">
        <v>1164</v>
      </c>
      <c r="C325" s="1" t="s">
        <v>1260</v>
      </c>
      <c r="D325" s="1">
        <v>2017</v>
      </c>
      <c r="E325" s="1" t="s">
        <v>2565</v>
      </c>
    </row>
    <row r="326" spans="1:5" x14ac:dyDescent="0.25">
      <c r="A326" s="3" t="s">
        <v>305</v>
      </c>
      <c r="B326" s="17" t="s">
        <v>1164</v>
      </c>
      <c r="C326" s="1" t="s">
        <v>1260</v>
      </c>
      <c r="D326" s="1">
        <v>2017</v>
      </c>
      <c r="E326" s="1" t="s">
        <v>2566</v>
      </c>
    </row>
    <row r="327" spans="1:5" x14ac:dyDescent="0.25">
      <c r="A327" s="3" t="s">
        <v>306</v>
      </c>
      <c r="B327" s="17" t="s">
        <v>1164</v>
      </c>
      <c r="C327" s="1" t="s">
        <v>1260</v>
      </c>
      <c r="D327" s="1">
        <v>2017</v>
      </c>
      <c r="E327" s="1" t="s">
        <v>2567</v>
      </c>
    </row>
    <row r="328" spans="1:5" x14ac:dyDescent="0.25">
      <c r="A328" s="3" t="s">
        <v>307</v>
      </c>
      <c r="B328" s="17" t="s">
        <v>1164</v>
      </c>
      <c r="C328" s="1" t="s">
        <v>1260</v>
      </c>
      <c r="D328" s="1">
        <v>2017</v>
      </c>
      <c r="E328" s="1" t="s">
        <v>2569</v>
      </c>
    </row>
    <row r="329" spans="1:5" x14ac:dyDescent="0.25">
      <c r="A329" s="3" t="s">
        <v>308</v>
      </c>
      <c r="B329" s="17" t="s">
        <v>1164</v>
      </c>
      <c r="C329" s="1" t="s">
        <v>1038</v>
      </c>
      <c r="D329" s="1">
        <v>2018</v>
      </c>
      <c r="E329" s="1" t="s">
        <v>2568</v>
      </c>
    </row>
    <row r="330" spans="1:5" x14ac:dyDescent="0.25">
      <c r="A330" s="3" t="s">
        <v>308</v>
      </c>
      <c r="B330" s="17" t="s">
        <v>1164</v>
      </c>
      <c r="C330" s="1" t="s">
        <v>1039</v>
      </c>
      <c r="D330" s="1">
        <v>2018</v>
      </c>
      <c r="E330" s="1" t="s">
        <v>2570</v>
      </c>
    </row>
    <row r="331" spans="1:5" x14ac:dyDescent="0.25">
      <c r="A331" s="3" t="s">
        <v>309</v>
      </c>
      <c r="B331" s="17" t="s">
        <v>1164</v>
      </c>
      <c r="C331" s="1" t="s">
        <v>1260</v>
      </c>
      <c r="D331" s="1">
        <v>2017</v>
      </c>
      <c r="E331" s="1" t="s">
        <v>2571</v>
      </c>
    </row>
    <row r="332" spans="1:5" x14ac:dyDescent="0.25">
      <c r="A332" s="3" t="s">
        <v>310</v>
      </c>
      <c r="B332" s="17" t="s">
        <v>1164</v>
      </c>
      <c r="C332" s="1" t="s">
        <v>1260</v>
      </c>
      <c r="D332" s="1">
        <v>2017</v>
      </c>
      <c r="E332" s="1" t="s">
        <v>2572</v>
      </c>
    </row>
    <row r="333" spans="1:5" x14ac:dyDescent="0.25">
      <c r="A333" s="3" t="s">
        <v>310</v>
      </c>
      <c r="B333" s="17" t="s">
        <v>1164</v>
      </c>
      <c r="C333" s="1" t="s">
        <v>378</v>
      </c>
      <c r="D333" s="1">
        <v>2018</v>
      </c>
      <c r="E333" s="1" t="s">
        <v>2573</v>
      </c>
    </row>
    <row r="334" spans="1:5" x14ac:dyDescent="0.25">
      <c r="A334" s="3" t="s">
        <v>311</v>
      </c>
      <c r="B334" s="17" t="s">
        <v>1164</v>
      </c>
      <c r="C334" s="1" t="s">
        <v>378</v>
      </c>
      <c r="D334" s="1">
        <v>2018</v>
      </c>
      <c r="E334" s="1" t="s">
        <v>2574</v>
      </c>
    </row>
    <row r="335" spans="1:5" x14ac:dyDescent="0.25">
      <c r="A335" s="3" t="s">
        <v>312</v>
      </c>
      <c r="B335" s="17" t="s">
        <v>1164</v>
      </c>
      <c r="C335" s="1" t="s">
        <v>1260</v>
      </c>
      <c r="D335" s="1">
        <v>2017</v>
      </c>
      <c r="E335" s="1" t="s">
        <v>2575</v>
      </c>
    </row>
    <row r="336" spans="1:5" x14ac:dyDescent="0.25">
      <c r="A336" s="3" t="s">
        <v>313</v>
      </c>
      <c r="B336" s="17" t="s">
        <v>1164</v>
      </c>
      <c r="C336" s="1" t="s">
        <v>1260</v>
      </c>
      <c r="D336" s="1">
        <v>2017</v>
      </c>
      <c r="E336" s="1" t="s">
        <v>2576</v>
      </c>
    </row>
    <row r="337" spans="1:5" x14ac:dyDescent="0.25">
      <c r="A337" s="3" t="s">
        <v>313</v>
      </c>
      <c r="B337" s="17" t="s">
        <v>1164</v>
      </c>
      <c r="C337" s="1" t="s">
        <v>378</v>
      </c>
      <c r="D337" s="1">
        <v>2018</v>
      </c>
      <c r="E337" s="1" t="s">
        <v>2577</v>
      </c>
    </row>
    <row r="338" spans="1:5" x14ac:dyDescent="0.25">
      <c r="A338" s="3" t="s">
        <v>314</v>
      </c>
      <c r="B338" s="17" t="s">
        <v>1164</v>
      </c>
      <c r="C338" s="1" t="s">
        <v>1260</v>
      </c>
      <c r="D338" s="1">
        <v>2017</v>
      </c>
      <c r="E338" s="1" t="s">
        <v>2578</v>
      </c>
    </row>
    <row r="339" spans="1:5" x14ac:dyDescent="0.25">
      <c r="A339" s="3" t="s">
        <v>314</v>
      </c>
      <c r="B339" s="17" t="s">
        <v>1164</v>
      </c>
      <c r="C339" s="1" t="s">
        <v>378</v>
      </c>
      <c r="D339" s="1">
        <v>2018</v>
      </c>
      <c r="E339" s="1" t="s">
        <v>2579</v>
      </c>
    </row>
    <row r="340" spans="1:5" x14ac:dyDescent="0.25">
      <c r="A340" s="3" t="s">
        <v>315</v>
      </c>
      <c r="B340" s="17" t="s">
        <v>1164</v>
      </c>
      <c r="C340" s="1" t="s">
        <v>1260</v>
      </c>
      <c r="D340" s="1">
        <v>2017</v>
      </c>
      <c r="E340" s="1" t="s">
        <v>2580</v>
      </c>
    </row>
    <row r="341" spans="1:5" x14ac:dyDescent="0.25">
      <c r="A341" s="3" t="s">
        <v>316</v>
      </c>
      <c r="B341" s="17" t="s">
        <v>1164</v>
      </c>
      <c r="C341" s="1" t="s">
        <v>1260</v>
      </c>
      <c r="D341" s="1">
        <v>2017</v>
      </c>
      <c r="E341" s="1" t="s">
        <v>2581</v>
      </c>
    </row>
    <row r="342" spans="1:5" x14ac:dyDescent="0.25">
      <c r="A342" s="3" t="s">
        <v>317</v>
      </c>
      <c r="B342" s="17" t="s">
        <v>1164</v>
      </c>
      <c r="C342" s="1" t="s">
        <v>1260</v>
      </c>
      <c r="D342" s="1">
        <v>2017</v>
      </c>
      <c r="E342" s="1" t="s">
        <v>2582</v>
      </c>
    </row>
    <row r="343" spans="1:5" x14ac:dyDescent="0.25">
      <c r="A343" s="3" t="s">
        <v>317</v>
      </c>
      <c r="B343" s="17" t="s">
        <v>1164</v>
      </c>
      <c r="C343" s="1" t="s">
        <v>378</v>
      </c>
      <c r="D343" s="1">
        <v>2018</v>
      </c>
      <c r="E343" s="1" t="s">
        <v>2583</v>
      </c>
    </row>
    <row r="344" spans="1:5" x14ac:dyDescent="0.25">
      <c r="A344" s="3" t="s">
        <v>318</v>
      </c>
      <c r="B344" s="17" t="s">
        <v>1164</v>
      </c>
      <c r="C344" s="1" t="s">
        <v>378</v>
      </c>
      <c r="D344" s="1">
        <v>2018</v>
      </c>
      <c r="E344" s="1" t="s">
        <v>2584</v>
      </c>
    </row>
    <row r="345" spans="1:5" x14ac:dyDescent="0.25">
      <c r="A345" s="3" t="s">
        <v>319</v>
      </c>
      <c r="B345" s="17" t="s">
        <v>1164</v>
      </c>
      <c r="C345" s="1" t="s">
        <v>1260</v>
      </c>
      <c r="D345" s="1">
        <v>2017</v>
      </c>
      <c r="E345" s="1" t="s">
        <v>2585</v>
      </c>
    </row>
    <row r="346" spans="1:5" x14ac:dyDescent="0.25">
      <c r="A346" s="3" t="s">
        <v>320</v>
      </c>
      <c r="B346" s="17" t="s">
        <v>1164</v>
      </c>
      <c r="C346" s="1" t="s">
        <v>378</v>
      </c>
      <c r="D346" s="1">
        <v>2018</v>
      </c>
      <c r="E346" s="1" t="s">
        <v>2586</v>
      </c>
    </row>
    <row r="347" spans="1:5" x14ac:dyDescent="0.25">
      <c r="A347" s="3" t="s">
        <v>321</v>
      </c>
      <c r="B347" s="17" t="s">
        <v>1164</v>
      </c>
      <c r="C347" s="1" t="s">
        <v>1260</v>
      </c>
      <c r="D347" s="1">
        <v>2017</v>
      </c>
      <c r="E347" s="1" t="s">
        <v>2587</v>
      </c>
    </row>
    <row r="348" spans="1:5" x14ac:dyDescent="0.25">
      <c r="A348" s="3" t="s">
        <v>321</v>
      </c>
      <c r="B348" s="17" t="s">
        <v>1164</v>
      </c>
      <c r="C348" s="1" t="s">
        <v>378</v>
      </c>
      <c r="D348" s="1">
        <v>2018</v>
      </c>
      <c r="E348" s="1" t="s">
        <v>2588</v>
      </c>
    </row>
    <row r="349" spans="1:5" x14ac:dyDescent="0.25">
      <c r="A349" s="3" t="s">
        <v>322</v>
      </c>
      <c r="B349" s="17" t="s">
        <v>1164</v>
      </c>
      <c r="C349" s="1" t="s">
        <v>378</v>
      </c>
      <c r="D349" s="1">
        <v>2018</v>
      </c>
      <c r="E349" s="1" t="s">
        <v>2589</v>
      </c>
    </row>
    <row r="350" spans="1:5" x14ac:dyDescent="0.25">
      <c r="A350" s="3" t="s">
        <v>323</v>
      </c>
      <c r="B350" s="17" t="s">
        <v>1164</v>
      </c>
      <c r="C350" s="1" t="s">
        <v>378</v>
      </c>
      <c r="D350" s="1">
        <v>2018</v>
      </c>
      <c r="E350" s="1" t="s">
        <v>2590</v>
      </c>
    </row>
    <row r="351" spans="1:5" x14ac:dyDescent="0.25">
      <c r="A351" s="3" t="s">
        <v>324</v>
      </c>
      <c r="B351" s="17" t="s">
        <v>1164</v>
      </c>
      <c r="C351" s="1" t="s">
        <v>378</v>
      </c>
      <c r="D351" s="1">
        <v>2018</v>
      </c>
      <c r="E351" s="1" t="s">
        <v>2591</v>
      </c>
    </row>
    <row r="352" spans="1:5" x14ac:dyDescent="0.25">
      <c r="A352" s="3" t="s">
        <v>325</v>
      </c>
      <c r="B352" s="17" t="s">
        <v>1164</v>
      </c>
      <c r="C352" s="1" t="s">
        <v>378</v>
      </c>
      <c r="D352" s="1">
        <v>2018</v>
      </c>
      <c r="E352" s="1" t="s">
        <v>2592</v>
      </c>
    </row>
    <row r="353" spans="1:5" x14ac:dyDescent="0.25">
      <c r="A353" s="3" t="s">
        <v>326</v>
      </c>
      <c r="B353" s="17" t="s">
        <v>1164</v>
      </c>
      <c r="C353" s="1" t="s">
        <v>378</v>
      </c>
      <c r="D353" s="1">
        <v>2018</v>
      </c>
      <c r="E353" s="1" t="s">
        <v>2593</v>
      </c>
    </row>
    <row r="354" spans="1:5" x14ac:dyDescent="0.25">
      <c r="A354" s="3" t="s">
        <v>327</v>
      </c>
      <c r="B354" s="17" t="s">
        <v>1164</v>
      </c>
      <c r="C354" s="1" t="s">
        <v>378</v>
      </c>
      <c r="D354" s="1">
        <v>2018</v>
      </c>
      <c r="E354" s="1" t="s">
        <v>2594</v>
      </c>
    </row>
    <row r="355" spans="1:5" x14ac:dyDescent="0.25">
      <c r="A355" s="3" t="s">
        <v>328</v>
      </c>
      <c r="B355" s="17" t="s">
        <v>1164</v>
      </c>
      <c r="C355" s="1" t="s">
        <v>378</v>
      </c>
      <c r="D355" s="1">
        <v>2018</v>
      </c>
      <c r="E355" s="1" t="s">
        <v>2595</v>
      </c>
    </row>
    <row r="356" spans="1:5" x14ac:dyDescent="0.25">
      <c r="A356" s="3" t="s">
        <v>329</v>
      </c>
      <c r="B356" s="17" t="s">
        <v>1164</v>
      </c>
      <c r="C356" s="1" t="s">
        <v>378</v>
      </c>
      <c r="D356" s="1">
        <v>2018</v>
      </c>
      <c r="E356" s="1" t="s">
        <v>2596</v>
      </c>
    </row>
    <row r="357" spans="1:5" x14ac:dyDescent="0.25">
      <c r="A357" s="3" t="s">
        <v>330</v>
      </c>
      <c r="B357" s="17" t="s">
        <v>1164</v>
      </c>
      <c r="C357" s="1" t="s">
        <v>378</v>
      </c>
      <c r="D357" s="1">
        <v>2018</v>
      </c>
      <c r="E357" s="1" t="s">
        <v>2597</v>
      </c>
    </row>
    <row r="358" spans="1:5" x14ac:dyDescent="0.25">
      <c r="A358" s="3" t="s">
        <v>331</v>
      </c>
      <c r="B358" s="17" t="s">
        <v>1164</v>
      </c>
      <c r="C358" s="1" t="s">
        <v>1260</v>
      </c>
      <c r="D358" s="1">
        <v>2017</v>
      </c>
      <c r="E358" s="1" t="s">
        <v>2598</v>
      </c>
    </row>
    <row r="359" spans="1:5" x14ac:dyDescent="0.25">
      <c r="A359" s="3" t="s">
        <v>331</v>
      </c>
      <c r="B359" s="17" t="s">
        <v>1164</v>
      </c>
      <c r="C359" s="1" t="s">
        <v>378</v>
      </c>
      <c r="D359" s="1">
        <v>2018</v>
      </c>
      <c r="E359" s="1" t="s">
        <v>2599</v>
      </c>
    </row>
    <row r="360" spans="1:5" x14ac:dyDescent="0.25">
      <c r="A360" s="3" t="s">
        <v>332</v>
      </c>
      <c r="B360" s="17" t="s">
        <v>1164</v>
      </c>
      <c r="C360" s="1" t="s">
        <v>378</v>
      </c>
      <c r="D360" s="1">
        <v>2018</v>
      </c>
      <c r="E360" s="1" t="s">
        <v>2600</v>
      </c>
    </row>
    <row r="361" spans="1:5" x14ac:dyDescent="0.25">
      <c r="A361" s="3" t="s">
        <v>333</v>
      </c>
      <c r="B361" s="17" t="s">
        <v>1164</v>
      </c>
      <c r="C361" s="1" t="s">
        <v>1260</v>
      </c>
      <c r="D361" s="1">
        <v>2017</v>
      </c>
      <c r="E361" s="1" t="s">
        <v>2601</v>
      </c>
    </row>
    <row r="362" spans="1:5" x14ac:dyDescent="0.25">
      <c r="A362" s="3" t="s">
        <v>333</v>
      </c>
      <c r="B362" s="17" t="s">
        <v>1164</v>
      </c>
      <c r="C362" s="1" t="s">
        <v>378</v>
      </c>
      <c r="D362" s="1">
        <v>2018</v>
      </c>
      <c r="E362" s="1" t="s">
        <v>2602</v>
      </c>
    </row>
    <row r="363" spans="1:5" x14ac:dyDescent="0.25">
      <c r="A363" s="3" t="s">
        <v>334</v>
      </c>
      <c r="B363" s="17" t="s">
        <v>1164</v>
      </c>
      <c r="C363" s="1" t="s">
        <v>378</v>
      </c>
      <c r="D363" s="1">
        <v>2018</v>
      </c>
      <c r="E363" s="1" t="s">
        <v>2603</v>
      </c>
    </row>
    <row r="364" spans="1:5" x14ac:dyDescent="0.25">
      <c r="A364" s="3" t="s">
        <v>335</v>
      </c>
      <c r="B364" s="17" t="s">
        <v>1164</v>
      </c>
      <c r="C364" s="1" t="s">
        <v>378</v>
      </c>
      <c r="D364" s="1">
        <v>2018</v>
      </c>
      <c r="E364" s="1" t="s">
        <v>2604</v>
      </c>
    </row>
    <row r="365" spans="1:5" x14ac:dyDescent="0.25">
      <c r="A365" s="3" t="s">
        <v>336</v>
      </c>
      <c r="B365" s="17" t="s">
        <v>1164</v>
      </c>
      <c r="C365" s="1" t="s">
        <v>378</v>
      </c>
      <c r="D365" s="1">
        <v>2018</v>
      </c>
      <c r="E365" s="1" t="s">
        <v>2605</v>
      </c>
    </row>
    <row r="366" spans="1:5" x14ac:dyDescent="0.25">
      <c r="A366" s="3" t="s">
        <v>337</v>
      </c>
      <c r="B366" s="17" t="s">
        <v>1164</v>
      </c>
      <c r="C366" s="1" t="s">
        <v>378</v>
      </c>
      <c r="D366" s="1">
        <v>2018</v>
      </c>
      <c r="E366" s="1" t="s">
        <v>2606</v>
      </c>
    </row>
    <row r="367" spans="1:5" x14ac:dyDescent="0.25">
      <c r="A367" s="3" t="s">
        <v>338</v>
      </c>
      <c r="B367" s="17" t="s">
        <v>1164</v>
      </c>
      <c r="C367" s="1" t="s">
        <v>1260</v>
      </c>
      <c r="D367" s="1">
        <v>2017</v>
      </c>
      <c r="E367" s="1" t="s">
        <v>2607</v>
      </c>
    </row>
    <row r="368" spans="1:5" x14ac:dyDescent="0.25">
      <c r="A368" s="3" t="s">
        <v>338</v>
      </c>
      <c r="B368" s="17" t="s">
        <v>1164</v>
      </c>
      <c r="C368" s="1" t="s">
        <v>378</v>
      </c>
      <c r="D368" s="1">
        <v>2018</v>
      </c>
      <c r="E368" s="1" t="s">
        <v>2608</v>
      </c>
    </row>
    <row r="369" spans="1:5" x14ac:dyDescent="0.25">
      <c r="A369" s="3" t="s">
        <v>339</v>
      </c>
      <c r="B369" s="17" t="s">
        <v>1164</v>
      </c>
      <c r="C369" s="1" t="s">
        <v>1260</v>
      </c>
      <c r="D369" s="1">
        <v>2017</v>
      </c>
      <c r="E369" s="1" t="s">
        <v>2609</v>
      </c>
    </row>
    <row r="370" spans="1:5" x14ac:dyDescent="0.25">
      <c r="A370" s="3" t="s">
        <v>339</v>
      </c>
      <c r="B370" s="17" t="s">
        <v>1164</v>
      </c>
      <c r="C370" s="1" t="s">
        <v>378</v>
      </c>
      <c r="D370" s="1">
        <v>2018</v>
      </c>
      <c r="E370" s="1" t="s">
        <v>2610</v>
      </c>
    </row>
    <row r="371" spans="1:5" x14ac:dyDescent="0.25">
      <c r="A371" s="3" t="s">
        <v>340</v>
      </c>
      <c r="B371" s="17" t="s">
        <v>1164</v>
      </c>
      <c r="C371" s="1" t="s">
        <v>378</v>
      </c>
      <c r="D371" s="1">
        <v>2018</v>
      </c>
      <c r="E371" s="1" t="s">
        <v>2611</v>
      </c>
    </row>
    <row r="372" spans="1:5" x14ac:dyDescent="0.25">
      <c r="A372" s="3" t="s">
        <v>341</v>
      </c>
      <c r="B372" s="17" t="s">
        <v>1164</v>
      </c>
      <c r="C372" s="1" t="s">
        <v>378</v>
      </c>
      <c r="D372" s="1">
        <v>2018</v>
      </c>
      <c r="E372" s="1" t="s">
        <v>2612</v>
      </c>
    </row>
    <row r="373" spans="1:5" x14ac:dyDescent="0.25">
      <c r="A373" s="3" t="s">
        <v>342</v>
      </c>
      <c r="B373" s="17" t="s">
        <v>1164</v>
      </c>
      <c r="C373" s="1" t="s">
        <v>378</v>
      </c>
      <c r="D373" s="1">
        <v>2018</v>
      </c>
      <c r="E373" s="1" t="s">
        <v>2613</v>
      </c>
    </row>
    <row r="374" spans="1:5" x14ac:dyDescent="0.25">
      <c r="A374" s="3" t="s">
        <v>343</v>
      </c>
      <c r="B374" s="17" t="s">
        <v>1164</v>
      </c>
      <c r="C374" s="1" t="s">
        <v>378</v>
      </c>
      <c r="D374" s="1">
        <v>2018</v>
      </c>
      <c r="E374" s="1" t="s">
        <v>2614</v>
      </c>
    </row>
    <row r="375" spans="1:5" x14ac:dyDescent="0.25">
      <c r="A375" s="3" t="s">
        <v>344</v>
      </c>
      <c r="B375" s="17" t="s">
        <v>1164</v>
      </c>
      <c r="C375" s="1" t="s">
        <v>1260</v>
      </c>
      <c r="D375" s="1">
        <v>2017</v>
      </c>
      <c r="E375" s="1" t="s">
        <v>2615</v>
      </c>
    </row>
    <row r="376" spans="1:5" x14ac:dyDescent="0.25">
      <c r="A376" s="3" t="s">
        <v>345</v>
      </c>
      <c r="B376" s="17" t="s">
        <v>1164</v>
      </c>
      <c r="C376" s="1" t="s">
        <v>1260</v>
      </c>
      <c r="D376" s="1">
        <v>2017</v>
      </c>
      <c r="E376" s="1" t="s">
        <v>2616</v>
      </c>
    </row>
    <row r="377" spans="1:5" x14ac:dyDescent="0.25">
      <c r="A377" s="3" t="s">
        <v>346</v>
      </c>
      <c r="B377" s="17" t="s">
        <v>1164</v>
      </c>
      <c r="C377" s="1" t="s">
        <v>1260</v>
      </c>
      <c r="D377" s="1">
        <v>2017</v>
      </c>
      <c r="E377" s="1" t="s">
        <v>2617</v>
      </c>
    </row>
    <row r="378" spans="1:5" x14ac:dyDescent="0.25">
      <c r="A378" s="3" t="s">
        <v>347</v>
      </c>
      <c r="B378" s="17" t="s">
        <v>1164</v>
      </c>
      <c r="C378" s="1" t="s">
        <v>1260</v>
      </c>
      <c r="D378" s="1">
        <v>2017</v>
      </c>
      <c r="E378" s="17" t="s">
        <v>2618</v>
      </c>
    </row>
    <row r="379" spans="1:5" x14ac:dyDescent="0.25">
      <c r="A379" s="3" t="s">
        <v>348</v>
      </c>
      <c r="B379" s="17" t="s">
        <v>1164</v>
      </c>
      <c r="C379" s="1" t="s">
        <v>378</v>
      </c>
      <c r="D379" s="1">
        <v>2018</v>
      </c>
      <c r="E379" s="17" t="s">
        <v>2619</v>
      </c>
    </row>
    <row r="380" spans="1:5" x14ac:dyDescent="0.25">
      <c r="A380" s="3" t="s">
        <v>349</v>
      </c>
      <c r="B380" s="17" t="s">
        <v>1164</v>
      </c>
      <c r="C380" s="1" t="s">
        <v>1260</v>
      </c>
      <c r="D380" s="1">
        <v>2017</v>
      </c>
      <c r="E380" s="17" t="s">
        <v>2620</v>
      </c>
    </row>
    <row r="381" spans="1:5" x14ac:dyDescent="0.25">
      <c r="A381" s="3" t="s">
        <v>350</v>
      </c>
      <c r="B381" s="17" t="s">
        <v>1164</v>
      </c>
      <c r="C381" s="1" t="s">
        <v>378</v>
      </c>
      <c r="D381" s="1">
        <v>2018</v>
      </c>
      <c r="E381" s="17" t="s">
        <v>2621</v>
      </c>
    </row>
    <row r="382" spans="1:5" x14ac:dyDescent="0.25">
      <c r="A382" s="3" t="s">
        <v>351</v>
      </c>
      <c r="B382" s="17" t="s">
        <v>1164</v>
      </c>
      <c r="C382" s="1" t="s">
        <v>378</v>
      </c>
      <c r="D382" s="1">
        <v>2018</v>
      </c>
      <c r="E382" s="17" t="s">
        <v>2622</v>
      </c>
    </row>
    <row r="383" spans="1:5" x14ac:dyDescent="0.25">
      <c r="A383" s="3" t="s">
        <v>352</v>
      </c>
      <c r="B383" s="17" t="s">
        <v>1164</v>
      </c>
      <c r="C383" s="1" t="s">
        <v>378</v>
      </c>
      <c r="D383" s="1">
        <v>2018</v>
      </c>
      <c r="E383" s="17" t="s">
        <v>2623</v>
      </c>
    </row>
    <row r="384" spans="1:5" x14ac:dyDescent="0.25">
      <c r="A384" s="3" t="s">
        <v>353</v>
      </c>
      <c r="B384" s="17" t="s">
        <v>1164</v>
      </c>
      <c r="C384" s="1" t="s">
        <v>378</v>
      </c>
      <c r="D384" s="1">
        <v>2018</v>
      </c>
      <c r="E384" s="17" t="s">
        <v>2624</v>
      </c>
    </row>
    <row r="385" spans="1:5" x14ac:dyDescent="0.25">
      <c r="A385" s="3" t="s">
        <v>354</v>
      </c>
      <c r="B385" s="17" t="s">
        <v>1164</v>
      </c>
      <c r="C385" s="1" t="s">
        <v>378</v>
      </c>
      <c r="D385" s="1">
        <v>2018</v>
      </c>
      <c r="E385" s="17" t="s">
        <v>2625</v>
      </c>
    </row>
    <row r="386" spans="1:5" x14ac:dyDescent="0.25">
      <c r="A386" s="3" t="s">
        <v>355</v>
      </c>
      <c r="B386" s="17" t="s">
        <v>1164</v>
      </c>
      <c r="C386" s="1" t="s">
        <v>378</v>
      </c>
      <c r="D386" s="1">
        <v>2018</v>
      </c>
      <c r="E386" s="17" t="s">
        <v>2626</v>
      </c>
    </row>
    <row r="387" spans="1:5" x14ac:dyDescent="0.25">
      <c r="A387" s="3" t="s">
        <v>356</v>
      </c>
      <c r="B387" s="17" t="s">
        <v>1164</v>
      </c>
      <c r="C387" s="1" t="s">
        <v>378</v>
      </c>
      <c r="D387" s="1">
        <v>2018</v>
      </c>
      <c r="E387" s="17" t="s">
        <v>2634</v>
      </c>
    </row>
    <row r="388" spans="1:5" x14ac:dyDescent="0.25">
      <c r="A388" s="3" t="s">
        <v>357</v>
      </c>
      <c r="B388" s="17" t="s">
        <v>1164</v>
      </c>
      <c r="C388" s="1" t="s">
        <v>378</v>
      </c>
      <c r="D388" s="1">
        <v>2018</v>
      </c>
      <c r="E388" s="17" t="s">
        <v>2627</v>
      </c>
    </row>
    <row r="389" spans="1:5" x14ac:dyDescent="0.25">
      <c r="A389" s="3" t="s">
        <v>358</v>
      </c>
      <c r="B389" s="17" t="s">
        <v>1164</v>
      </c>
      <c r="C389" s="1" t="s">
        <v>378</v>
      </c>
      <c r="D389" s="1">
        <v>2018</v>
      </c>
      <c r="E389" s="17" t="s">
        <v>2628</v>
      </c>
    </row>
    <row r="390" spans="1:5" x14ac:dyDescent="0.25">
      <c r="A390" s="3" t="s">
        <v>359</v>
      </c>
      <c r="B390" s="17" t="s">
        <v>1164</v>
      </c>
      <c r="C390" s="1" t="s">
        <v>378</v>
      </c>
      <c r="D390" s="1">
        <v>2018</v>
      </c>
      <c r="E390" s="17" t="s">
        <v>2629</v>
      </c>
    </row>
    <row r="391" spans="1:5" x14ac:dyDescent="0.25">
      <c r="A391" s="3" t="s">
        <v>360</v>
      </c>
      <c r="B391" s="17" t="s">
        <v>1164</v>
      </c>
      <c r="C391" s="1" t="s">
        <v>378</v>
      </c>
      <c r="D391" s="1">
        <v>2018</v>
      </c>
      <c r="E391" s="17" t="s">
        <v>2630</v>
      </c>
    </row>
    <row r="392" spans="1:5" x14ac:dyDescent="0.25">
      <c r="A392" s="3" t="s">
        <v>361</v>
      </c>
      <c r="B392" s="17" t="s">
        <v>1164</v>
      </c>
      <c r="C392" s="1" t="s">
        <v>378</v>
      </c>
      <c r="D392" s="1">
        <v>2018</v>
      </c>
      <c r="E392" s="17" t="s">
        <v>2631</v>
      </c>
    </row>
    <row r="393" spans="1:5" x14ac:dyDescent="0.25">
      <c r="A393" s="3" t="s">
        <v>362</v>
      </c>
      <c r="B393" s="17" t="s">
        <v>1164</v>
      </c>
      <c r="C393" s="1" t="s">
        <v>378</v>
      </c>
      <c r="D393" s="1">
        <v>2018</v>
      </c>
      <c r="E393" s="17" t="s">
        <v>2632</v>
      </c>
    </row>
    <row r="394" spans="1:5" x14ac:dyDescent="0.25">
      <c r="A394" s="3" t="s">
        <v>363</v>
      </c>
      <c r="B394" s="17" t="s">
        <v>1164</v>
      </c>
      <c r="C394" s="1" t="s">
        <v>378</v>
      </c>
      <c r="D394" s="1">
        <v>2018</v>
      </c>
      <c r="E394" s="17" t="s">
        <v>2633</v>
      </c>
    </row>
    <row r="395" spans="1:5" x14ac:dyDescent="0.25">
      <c r="A395" s="3" t="s">
        <v>364</v>
      </c>
      <c r="B395" s="17" t="s">
        <v>1164</v>
      </c>
      <c r="C395" s="1" t="s">
        <v>378</v>
      </c>
      <c r="D395" s="1">
        <v>2018</v>
      </c>
      <c r="E395" s="17" t="s">
        <v>2635</v>
      </c>
    </row>
    <row r="396" spans="1:5" x14ac:dyDescent="0.25">
      <c r="A396" s="3" t="s">
        <v>365</v>
      </c>
      <c r="B396" s="17" t="s">
        <v>1164</v>
      </c>
      <c r="C396" s="1" t="s">
        <v>378</v>
      </c>
      <c r="D396" s="1">
        <v>2018</v>
      </c>
      <c r="E396" s="17" t="s">
        <v>2636</v>
      </c>
    </row>
    <row r="397" spans="1:5" x14ac:dyDescent="0.25">
      <c r="A397" s="3" t="s">
        <v>366</v>
      </c>
      <c r="B397" s="17" t="s">
        <v>1164</v>
      </c>
      <c r="C397" s="1" t="s">
        <v>378</v>
      </c>
      <c r="D397" s="1">
        <v>2018</v>
      </c>
      <c r="E397" s="17" t="s">
        <v>2637</v>
      </c>
    </row>
    <row r="398" spans="1:5" x14ac:dyDescent="0.25">
      <c r="A398" s="3" t="s">
        <v>367</v>
      </c>
      <c r="B398" s="17" t="s">
        <v>1164</v>
      </c>
      <c r="C398" s="1" t="s">
        <v>378</v>
      </c>
      <c r="D398" s="1">
        <v>2018</v>
      </c>
      <c r="E398" s="17" t="s">
        <v>2638</v>
      </c>
    </row>
    <row r="399" spans="1:5" x14ac:dyDescent="0.25">
      <c r="A399" s="3" t="s">
        <v>368</v>
      </c>
      <c r="B399" s="17" t="s">
        <v>1164</v>
      </c>
      <c r="C399" s="1" t="s">
        <v>378</v>
      </c>
      <c r="D399" s="1">
        <v>2018</v>
      </c>
      <c r="E399" s="17" t="s">
        <v>2639</v>
      </c>
    </row>
    <row r="400" spans="1:5" x14ac:dyDescent="0.25">
      <c r="A400" s="3" t="s">
        <v>369</v>
      </c>
      <c r="B400" s="17" t="s">
        <v>1164</v>
      </c>
      <c r="C400" s="1" t="s">
        <v>378</v>
      </c>
      <c r="D400" s="1">
        <v>2018</v>
      </c>
      <c r="E400" s="17" t="s">
        <v>2640</v>
      </c>
    </row>
    <row r="401" spans="1:5" x14ac:dyDescent="0.25">
      <c r="A401" s="3" t="s">
        <v>370</v>
      </c>
      <c r="B401" s="17" t="s">
        <v>1164</v>
      </c>
      <c r="C401" s="1" t="s">
        <v>378</v>
      </c>
      <c r="D401" s="1">
        <v>2018</v>
      </c>
      <c r="E401" s="17" t="s">
        <v>2641</v>
      </c>
    </row>
    <row r="402" spans="1:5" x14ac:dyDescent="0.25">
      <c r="A402" s="3" t="s">
        <v>371</v>
      </c>
      <c r="B402" s="17" t="s">
        <v>1164</v>
      </c>
      <c r="C402" s="1" t="s">
        <v>378</v>
      </c>
      <c r="D402" s="1">
        <v>2018</v>
      </c>
      <c r="E402" s="17" t="s">
        <v>2642</v>
      </c>
    </row>
    <row r="403" spans="1:5" x14ac:dyDescent="0.25">
      <c r="A403" s="3" t="s">
        <v>372</v>
      </c>
      <c r="B403" s="17" t="s">
        <v>1164</v>
      </c>
      <c r="C403" s="1" t="s">
        <v>378</v>
      </c>
      <c r="D403" s="1">
        <v>2018</v>
      </c>
      <c r="E403" s="17" t="s">
        <v>2642</v>
      </c>
    </row>
    <row r="404" spans="1:5" x14ac:dyDescent="0.25">
      <c r="A404" s="3" t="s">
        <v>373</v>
      </c>
      <c r="B404" s="17" t="s">
        <v>1164</v>
      </c>
      <c r="C404" s="1" t="s">
        <v>378</v>
      </c>
      <c r="D404" s="1">
        <v>2018</v>
      </c>
      <c r="E404" s="17" t="s">
        <v>2643</v>
      </c>
    </row>
    <row r="405" spans="1:5" x14ac:dyDescent="0.25">
      <c r="A405" s="3" t="s">
        <v>374</v>
      </c>
      <c r="B405" s="17" t="s">
        <v>1164</v>
      </c>
      <c r="C405" s="1" t="s">
        <v>378</v>
      </c>
      <c r="D405" s="1">
        <v>2018</v>
      </c>
      <c r="E405" s="17" t="s">
        <v>2644</v>
      </c>
    </row>
    <row r="406" spans="1:5" x14ac:dyDescent="0.25">
      <c r="A406" s="3" t="s">
        <v>375</v>
      </c>
      <c r="B406" s="17" t="s">
        <v>1164</v>
      </c>
      <c r="C406" s="1" t="s">
        <v>378</v>
      </c>
      <c r="D406" s="1">
        <v>2018</v>
      </c>
      <c r="E406" s="17" t="s">
        <v>2645</v>
      </c>
    </row>
    <row r="407" spans="1:5" x14ac:dyDescent="0.25">
      <c r="A407" s="3" t="s">
        <v>376</v>
      </c>
      <c r="B407" s="17" t="s">
        <v>1164</v>
      </c>
      <c r="C407" s="1" t="s">
        <v>378</v>
      </c>
      <c r="D407" s="1">
        <v>2018</v>
      </c>
      <c r="E407" s="17" t="s">
        <v>2646</v>
      </c>
    </row>
    <row r="408" spans="1:5" x14ac:dyDescent="0.25">
      <c r="A408" s="3" t="s">
        <v>380</v>
      </c>
      <c r="B408" s="46" t="s">
        <v>1163</v>
      </c>
      <c r="C408" s="1" t="s">
        <v>1260</v>
      </c>
      <c r="D408" s="1" t="s">
        <v>2647</v>
      </c>
      <c r="E408" s="17" t="s">
        <v>2648</v>
      </c>
    </row>
    <row r="409" spans="1:5" x14ac:dyDescent="0.25">
      <c r="A409" s="3" t="s">
        <v>381</v>
      </c>
      <c r="B409" s="17" t="s">
        <v>1163</v>
      </c>
      <c r="C409" s="1" t="s">
        <v>1225</v>
      </c>
      <c r="E409" s="17" t="s">
        <v>2650</v>
      </c>
    </row>
    <row r="410" spans="1:5" x14ac:dyDescent="0.25">
      <c r="A410" s="3" t="s">
        <v>382</v>
      </c>
      <c r="B410" s="17" t="s">
        <v>1163</v>
      </c>
      <c r="C410" s="1" t="s">
        <v>1260</v>
      </c>
      <c r="E410" s="17" t="s">
        <v>2651</v>
      </c>
    </row>
    <row r="411" spans="1:5" x14ac:dyDescent="0.25">
      <c r="A411" s="3" t="s">
        <v>383</v>
      </c>
      <c r="B411" s="17" t="s">
        <v>1163</v>
      </c>
      <c r="C411" s="1" t="s">
        <v>1225</v>
      </c>
      <c r="E411" s="17" t="s">
        <v>2652</v>
      </c>
    </row>
    <row r="412" spans="1:5" x14ac:dyDescent="0.25">
      <c r="A412" s="3" t="s">
        <v>384</v>
      </c>
      <c r="B412" s="17" t="s">
        <v>1163</v>
      </c>
      <c r="C412" s="1" t="s">
        <v>1260</v>
      </c>
      <c r="E412" s="17" t="s">
        <v>2653</v>
      </c>
    </row>
    <row r="413" spans="1:5" x14ac:dyDescent="0.25">
      <c r="A413" s="3" t="s">
        <v>385</v>
      </c>
      <c r="B413" s="17" t="s">
        <v>1163</v>
      </c>
      <c r="C413" s="1" t="s">
        <v>1225</v>
      </c>
      <c r="E413" s="17" t="s">
        <v>2654</v>
      </c>
    </row>
    <row r="414" spans="1:5" x14ac:dyDescent="0.25">
      <c r="A414" s="3" t="s">
        <v>386</v>
      </c>
      <c r="B414" s="17" t="s">
        <v>1163</v>
      </c>
      <c r="C414" s="1" t="s">
        <v>1260</v>
      </c>
      <c r="E414" s="17" t="s">
        <v>2655</v>
      </c>
    </row>
    <row r="415" spans="1:5" x14ac:dyDescent="0.25">
      <c r="A415" s="3" t="s">
        <v>387</v>
      </c>
      <c r="B415" s="17" t="s">
        <v>1163</v>
      </c>
      <c r="C415" s="1" t="s">
        <v>1225</v>
      </c>
      <c r="E415" s="17" t="s">
        <v>2656</v>
      </c>
    </row>
    <row r="416" spans="1:5" x14ac:dyDescent="0.25">
      <c r="A416" s="3" t="s">
        <v>388</v>
      </c>
      <c r="B416" s="17" t="s">
        <v>1163</v>
      </c>
      <c r="C416" s="1" t="s">
        <v>1260</v>
      </c>
      <c r="E416" s="17" t="s">
        <v>2657</v>
      </c>
    </row>
    <row r="417" spans="1:5" x14ac:dyDescent="0.25">
      <c r="A417" s="3" t="s">
        <v>389</v>
      </c>
      <c r="B417" s="17" t="s">
        <v>1163</v>
      </c>
      <c r="C417" s="1" t="s">
        <v>1225</v>
      </c>
      <c r="E417" s="17" t="s">
        <v>2658</v>
      </c>
    </row>
    <row r="418" spans="1:5" x14ac:dyDescent="0.25">
      <c r="A418" s="3" t="s">
        <v>390</v>
      </c>
      <c r="B418" s="17" t="s">
        <v>1163</v>
      </c>
      <c r="C418" s="1" t="s">
        <v>1260</v>
      </c>
      <c r="E418" s="17" t="s">
        <v>2659</v>
      </c>
    </row>
    <row r="419" spans="1:5" x14ac:dyDescent="0.25">
      <c r="A419" s="3" t="s">
        <v>391</v>
      </c>
      <c r="B419" s="17" t="s">
        <v>1163</v>
      </c>
      <c r="C419" s="1" t="s">
        <v>1225</v>
      </c>
      <c r="E419" s="17" t="s">
        <v>2660</v>
      </c>
    </row>
    <row r="420" spans="1:5" x14ac:dyDescent="0.25">
      <c r="A420" s="3" t="s">
        <v>392</v>
      </c>
      <c r="B420" s="17" t="s">
        <v>1163</v>
      </c>
      <c r="C420" s="1" t="s">
        <v>1260</v>
      </c>
      <c r="E420" s="17" t="s">
        <v>2661</v>
      </c>
    </row>
    <row r="421" spans="1:5" x14ac:dyDescent="0.25">
      <c r="A421" s="3" t="s">
        <v>393</v>
      </c>
      <c r="B421" s="17" t="s">
        <v>1163</v>
      </c>
      <c r="C421" s="1" t="s">
        <v>1225</v>
      </c>
      <c r="E421" s="17" t="s">
        <v>2663</v>
      </c>
    </row>
    <row r="422" spans="1:5" x14ac:dyDescent="0.25">
      <c r="A422" s="3" t="s">
        <v>394</v>
      </c>
      <c r="B422" s="17" t="s">
        <v>1163</v>
      </c>
      <c r="C422" s="1" t="s">
        <v>1260</v>
      </c>
      <c r="E422" s="17" t="s">
        <v>2662</v>
      </c>
    </row>
    <row r="423" spans="1:5" x14ac:dyDescent="0.25">
      <c r="A423" s="3" t="s">
        <v>395</v>
      </c>
      <c r="B423" s="17" t="s">
        <v>1163</v>
      </c>
      <c r="C423" s="1" t="s">
        <v>1225</v>
      </c>
      <c r="E423" s="17" t="s">
        <v>2665</v>
      </c>
    </row>
    <row r="424" spans="1:5" x14ac:dyDescent="0.25">
      <c r="A424" s="3" t="s">
        <v>396</v>
      </c>
      <c r="B424" s="17" t="s">
        <v>1163</v>
      </c>
      <c r="C424" s="1" t="s">
        <v>1260</v>
      </c>
      <c r="E424" s="17" t="s">
        <v>2664</v>
      </c>
    </row>
    <row r="425" spans="1:5" x14ac:dyDescent="0.25">
      <c r="A425" s="3" t="s">
        <v>397</v>
      </c>
      <c r="B425" s="17" t="s">
        <v>1163</v>
      </c>
      <c r="C425" s="1" t="s">
        <v>1225</v>
      </c>
      <c r="E425" s="17" t="s">
        <v>2666</v>
      </c>
    </row>
    <row r="426" spans="1:5" x14ac:dyDescent="0.25">
      <c r="A426" s="3" t="s">
        <v>398</v>
      </c>
      <c r="B426" s="17" t="s">
        <v>1163</v>
      </c>
      <c r="C426" s="1" t="s">
        <v>1260</v>
      </c>
      <c r="E426" s="17" t="s">
        <v>2667</v>
      </c>
    </row>
    <row r="427" spans="1:5" x14ac:dyDescent="0.25">
      <c r="A427" s="3" t="s">
        <v>399</v>
      </c>
      <c r="B427" s="17" t="s">
        <v>1163</v>
      </c>
      <c r="C427" s="1" t="s">
        <v>1225</v>
      </c>
      <c r="E427" s="17" t="s">
        <v>2668</v>
      </c>
    </row>
    <row r="428" spans="1:5" x14ac:dyDescent="0.25">
      <c r="A428" s="3" t="s">
        <v>400</v>
      </c>
      <c r="B428" s="17" t="s">
        <v>1163</v>
      </c>
      <c r="C428" s="1" t="s">
        <v>1260</v>
      </c>
      <c r="E428" s="17" t="s">
        <v>2669</v>
      </c>
    </row>
    <row r="429" spans="1:5" x14ac:dyDescent="0.25">
      <c r="A429" s="3" t="s">
        <v>401</v>
      </c>
      <c r="B429" s="17" t="s">
        <v>1163</v>
      </c>
      <c r="C429" s="1" t="s">
        <v>1225</v>
      </c>
      <c r="E429" s="17" t="s">
        <v>2670</v>
      </c>
    </row>
    <row r="430" spans="1:5" x14ac:dyDescent="0.25">
      <c r="A430" s="3" t="s">
        <v>402</v>
      </c>
      <c r="B430" s="17" t="s">
        <v>1163</v>
      </c>
      <c r="C430" s="1" t="s">
        <v>1260</v>
      </c>
      <c r="E430" s="17" t="s">
        <v>2671</v>
      </c>
    </row>
    <row r="431" spans="1:5" x14ac:dyDescent="0.25">
      <c r="A431" s="3" t="s">
        <v>403</v>
      </c>
      <c r="B431" s="17" t="s">
        <v>1163</v>
      </c>
      <c r="C431" s="1" t="s">
        <v>1225</v>
      </c>
      <c r="E431" s="17" t="s">
        <v>2672</v>
      </c>
    </row>
    <row r="432" spans="1:5" x14ac:dyDescent="0.25">
      <c r="A432" s="3" t="s">
        <v>404</v>
      </c>
      <c r="B432" s="17" t="s">
        <v>1163</v>
      </c>
      <c r="C432" s="1" t="s">
        <v>1260</v>
      </c>
      <c r="E432" s="17" t="s">
        <v>2673</v>
      </c>
    </row>
    <row r="433" spans="1:5" x14ac:dyDescent="0.25">
      <c r="A433" s="3" t="s">
        <v>405</v>
      </c>
      <c r="B433" s="17" t="s">
        <v>1163</v>
      </c>
      <c r="C433" s="1" t="s">
        <v>1225</v>
      </c>
      <c r="E433" s="17" t="s">
        <v>2674</v>
      </c>
    </row>
    <row r="434" spans="1:5" x14ac:dyDescent="0.25">
      <c r="A434" s="3" t="s">
        <v>406</v>
      </c>
      <c r="B434" s="17" t="s">
        <v>1163</v>
      </c>
      <c r="C434" s="1" t="s">
        <v>1260</v>
      </c>
      <c r="E434" s="17" t="s">
        <v>2675</v>
      </c>
    </row>
    <row r="435" spans="1:5" x14ac:dyDescent="0.25">
      <c r="A435" s="3" t="s">
        <v>407</v>
      </c>
      <c r="B435" s="17" t="s">
        <v>1163</v>
      </c>
      <c r="C435" s="1" t="s">
        <v>1225</v>
      </c>
      <c r="E435" s="17" t="s">
        <v>2676</v>
      </c>
    </row>
    <row r="436" spans="1:5" x14ac:dyDescent="0.25">
      <c r="A436" s="3" t="s">
        <v>408</v>
      </c>
      <c r="B436" s="17" t="s">
        <v>1163</v>
      </c>
      <c r="C436" s="1" t="s">
        <v>1260</v>
      </c>
      <c r="E436" s="17" t="s">
        <v>2677</v>
      </c>
    </row>
    <row r="437" spans="1:5" x14ac:dyDescent="0.25">
      <c r="A437" s="3" t="s">
        <v>409</v>
      </c>
      <c r="B437" s="17" t="s">
        <v>1163</v>
      </c>
      <c r="C437" s="1" t="s">
        <v>1225</v>
      </c>
      <c r="E437" s="17" t="s">
        <v>2678</v>
      </c>
    </row>
    <row r="438" spans="1:5" x14ac:dyDescent="0.25">
      <c r="A438" s="3" t="s">
        <v>410</v>
      </c>
      <c r="B438" s="17" t="s">
        <v>1163</v>
      </c>
      <c r="C438" s="1" t="s">
        <v>1260</v>
      </c>
      <c r="E438" s="17" t="s">
        <v>2688</v>
      </c>
    </row>
    <row r="439" spans="1:5" x14ac:dyDescent="0.25">
      <c r="A439" s="3" t="s">
        <v>411</v>
      </c>
      <c r="B439" s="17" t="s">
        <v>1163</v>
      </c>
      <c r="C439" s="1" t="s">
        <v>1225</v>
      </c>
      <c r="E439" s="17" t="s">
        <v>2687</v>
      </c>
    </row>
    <row r="440" spans="1:5" x14ac:dyDescent="0.25">
      <c r="A440" s="3" t="s">
        <v>412</v>
      </c>
      <c r="B440" s="17" t="s">
        <v>1163</v>
      </c>
      <c r="C440" s="1" t="s">
        <v>1260</v>
      </c>
      <c r="E440" s="17" t="s">
        <v>2686</v>
      </c>
    </row>
    <row r="441" spans="1:5" x14ac:dyDescent="0.25">
      <c r="A441" s="3" t="s">
        <v>413</v>
      </c>
      <c r="B441" s="17" t="s">
        <v>1163</v>
      </c>
      <c r="C441" s="1" t="s">
        <v>1225</v>
      </c>
      <c r="E441" s="17" t="s">
        <v>2685</v>
      </c>
    </row>
    <row r="442" spans="1:5" x14ac:dyDescent="0.25">
      <c r="A442" s="3" t="s">
        <v>414</v>
      </c>
      <c r="B442" s="17" t="s">
        <v>1163</v>
      </c>
      <c r="C442" s="1" t="s">
        <v>1260</v>
      </c>
      <c r="E442" s="17" t="s">
        <v>2684</v>
      </c>
    </row>
    <row r="443" spans="1:5" x14ac:dyDescent="0.25">
      <c r="A443" s="3" t="s">
        <v>415</v>
      </c>
      <c r="B443" s="17" t="s">
        <v>1163</v>
      </c>
      <c r="C443" s="1" t="s">
        <v>1225</v>
      </c>
      <c r="E443" s="17" t="s">
        <v>2683</v>
      </c>
    </row>
    <row r="444" spans="1:5" x14ac:dyDescent="0.25">
      <c r="A444" s="3" t="s">
        <v>416</v>
      </c>
      <c r="B444" s="17" t="s">
        <v>1163</v>
      </c>
      <c r="C444" s="1" t="s">
        <v>1260</v>
      </c>
      <c r="E444" s="17" t="s">
        <v>2682</v>
      </c>
    </row>
    <row r="445" spans="1:5" x14ac:dyDescent="0.25">
      <c r="A445" s="3" t="s">
        <v>417</v>
      </c>
      <c r="B445" s="17" t="s">
        <v>1163</v>
      </c>
      <c r="C445" s="1" t="s">
        <v>1225</v>
      </c>
      <c r="E445" s="17" t="s">
        <v>2681</v>
      </c>
    </row>
    <row r="446" spans="1:5" x14ac:dyDescent="0.25">
      <c r="A446" s="3" t="s">
        <v>418</v>
      </c>
      <c r="B446" s="17" t="s">
        <v>1163</v>
      </c>
      <c r="C446" s="1" t="s">
        <v>1260</v>
      </c>
      <c r="E446" s="17" t="s">
        <v>2680</v>
      </c>
    </row>
    <row r="447" spans="1:5" x14ac:dyDescent="0.25">
      <c r="A447" s="3" t="s">
        <v>419</v>
      </c>
      <c r="B447" s="17" t="s">
        <v>1163</v>
      </c>
      <c r="C447" s="1" t="s">
        <v>1225</v>
      </c>
      <c r="E447" s="17" t="s">
        <v>2679</v>
      </c>
    </row>
    <row r="448" spans="1:5" x14ac:dyDescent="0.25">
      <c r="A448" s="3" t="s">
        <v>1165</v>
      </c>
      <c r="B448" s="17" t="s">
        <v>1163</v>
      </c>
      <c r="C448" s="1" t="s">
        <v>1260</v>
      </c>
      <c r="E448" s="17" t="s">
        <v>2689</v>
      </c>
    </row>
    <row r="449" spans="1:5" x14ac:dyDescent="0.25">
      <c r="A449" s="3" t="s">
        <v>1166</v>
      </c>
      <c r="B449" s="17" t="s">
        <v>1163</v>
      </c>
      <c r="C449" s="1" t="s">
        <v>1225</v>
      </c>
      <c r="E449" s="17" t="s">
        <v>2690</v>
      </c>
    </row>
    <row r="450" spans="1:5" x14ac:dyDescent="0.25">
      <c r="A450" s="3" t="s">
        <v>420</v>
      </c>
      <c r="B450" s="17" t="s">
        <v>1163</v>
      </c>
      <c r="C450" s="1" t="s">
        <v>1260</v>
      </c>
      <c r="E450" s="17" t="s">
        <v>2691</v>
      </c>
    </row>
    <row r="451" spans="1:5" x14ac:dyDescent="0.25">
      <c r="A451" s="3" t="s">
        <v>421</v>
      </c>
      <c r="B451" s="17" t="s">
        <v>1163</v>
      </c>
      <c r="C451" s="1" t="s">
        <v>1225</v>
      </c>
      <c r="E451" s="17" t="s">
        <v>2692</v>
      </c>
    </row>
    <row r="452" spans="1:5" x14ac:dyDescent="0.25">
      <c r="A452" s="3" t="s">
        <v>1167</v>
      </c>
      <c r="B452" s="17" t="s">
        <v>1163</v>
      </c>
      <c r="C452" s="1" t="s">
        <v>1260</v>
      </c>
      <c r="E452" s="17" t="s">
        <v>2693</v>
      </c>
    </row>
    <row r="453" spans="1:5" x14ac:dyDescent="0.25">
      <c r="A453" s="3" t="s">
        <v>1168</v>
      </c>
      <c r="B453" s="17" t="s">
        <v>1163</v>
      </c>
      <c r="C453" s="1" t="s">
        <v>1225</v>
      </c>
      <c r="E453" s="17" t="s">
        <v>2694</v>
      </c>
    </row>
    <row r="454" spans="1:5" x14ac:dyDescent="0.25">
      <c r="A454" s="3" t="s">
        <v>422</v>
      </c>
      <c r="B454" s="17" t="s">
        <v>1163</v>
      </c>
      <c r="C454" s="1" t="s">
        <v>1260</v>
      </c>
      <c r="E454" s="17" t="s">
        <v>2695</v>
      </c>
    </row>
    <row r="455" spans="1:5" x14ac:dyDescent="0.25">
      <c r="A455" s="3" t="s">
        <v>423</v>
      </c>
      <c r="B455" s="17" t="s">
        <v>1163</v>
      </c>
      <c r="C455" s="1" t="s">
        <v>1225</v>
      </c>
      <c r="E455" s="17" t="s">
        <v>2696</v>
      </c>
    </row>
    <row r="456" spans="1:5" x14ac:dyDescent="0.25">
      <c r="A456" s="3" t="s">
        <v>1169</v>
      </c>
      <c r="B456" s="17" t="s">
        <v>1163</v>
      </c>
      <c r="C456" s="1" t="s">
        <v>1260</v>
      </c>
      <c r="E456" s="17" t="s">
        <v>2697</v>
      </c>
    </row>
    <row r="457" spans="1:5" x14ac:dyDescent="0.25">
      <c r="A457" s="3" t="s">
        <v>1170</v>
      </c>
      <c r="B457" s="17" t="s">
        <v>1163</v>
      </c>
      <c r="C457" s="1" t="s">
        <v>1225</v>
      </c>
      <c r="E457" s="17" t="s">
        <v>2698</v>
      </c>
    </row>
    <row r="458" spans="1:5" x14ac:dyDescent="0.25">
      <c r="A458" s="3" t="s">
        <v>1171</v>
      </c>
      <c r="B458" s="17" t="s">
        <v>1163</v>
      </c>
      <c r="C458" s="1" t="s">
        <v>1260</v>
      </c>
      <c r="E458" s="17" t="s">
        <v>2699</v>
      </c>
    </row>
    <row r="459" spans="1:5" x14ac:dyDescent="0.25">
      <c r="A459" s="3" t="s">
        <v>424</v>
      </c>
      <c r="B459" s="17" t="s">
        <v>1163</v>
      </c>
      <c r="C459" s="1" t="s">
        <v>1225</v>
      </c>
      <c r="E459" s="17" t="s">
        <v>2700</v>
      </c>
    </row>
    <row r="460" spans="1:5" x14ac:dyDescent="0.25">
      <c r="A460" s="3" t="s">
        <v>425</v>
      </c>
      <c r="B460" s="17" t="s">
        <v>1163</v>
      </c>
      <c r="C460" s="1" t="s">
        <v>1260</v>
      </c>
      <c r="E460" s="17" t="s">
        <v>2701</v>
      </c>
    </row>
    <row r="461" spans="1:5" x14ac:dyDescent="0.25">
      <c r="A461" s="3" t="s">
        <v>1172</v>
      </c>
      <c r="B461" s="17" t="s">
        <v>1163</v>
      </c>
      <c r="C461" s="1" t="s">
        <v>1225</v>
      </c>
      <c r="E461" s="17" t="s">
        <v>2702</v>
      </c>
    </row>
    <row r="462" spans="1:5" x14ac:dyDescent="0.25">
      <c r="A462" s="3" t="s">
        <v>426</v>
      </c>
      <c r="B462" s="17" t="s">
        <v>1163</v>
      </c>
      <c r="C462" s="1" t="s">
        <v>1260</v>
      </c>
      <c r="E462" s="17" t="s">
        <v>2703</v>
      </c>
    </row>
    <row r="463" spans="1:5" x14ac:dyDescent="0.25">
      <c r="A463" s="3" t="s">
        <v>427</v>
      </c>
      <c r="B463" s="17" t="s">
        <v>1163</v>
      </c>
      <c r="C463" s="1" t="s">
        <v>1225</v>
      </c>
      <c r="E463" s="17" t="s">
        <v>2704</v>
      </c>
    </row>
    <row r="464" spans="1:5" x14ac:dyDescent="0.25">
      <c r="A464" s="3" t="s">
        <v>428</v>
      </c>
      <c r="B464" s="17" t="s">
        <v>1163</v>
      </c>
      <c r="C464" s="1" t="s">
        <v>1260</v>
      </c>
      <c r="E464" s="17" t="s">
        <v>2705</v>
      </c>
    </row>
    <row r="465" spans="1:5" x14ac:dyDescent="0.25">
      <c r="A465" s="3" t="s">
        <v>429</v>
      </c>
      <c r="B465" s="17" t="s">
        <v>1163</v>
      </c>
      <c r="C465" s="1" t="s">
        <v>1225</v>
      </c>
      <c r="E465" s="17" t="s">
        <v>2706</v>
      </c>
    </row>
    <row r="466" spans="1:5" x14ac:dyDescent="0.25">
      <c r="A466" s="3" t="s">
        <v>430</v>
      </c>
      <c r="B466" s="17" t="s">
        <v>1163</v>
      </c>
      <c r="C466" s="1" t="s">
        <v>1260</v>
      </c>
      <c r="E466" s="17" t="s">
        <v>2707</v>
      </c>
    </row>
    <row r="467" spans="1:5" x14ac:dyDescent="0.25">
      <c r="A467" s="3" t="s">
        <v>431</v>
      </c>
      <c r="B467" s="17" t="s">
        <v>1163</v>
      </c>
      <c r="C467" s="1" t="s">
        <v>1225</v>
      </c>
      <c r="E467" s="17" t="s">
        <v>2708</v>
      </c>
    </row>
    <row r="468" spans="1:5" x14ac:dyDescent="0.25">
      <c r="A468" s="3" t="s">
        <v>432</v>
      </c>
      <c r="B468" s="17" t="s">
        <v>1163</v>
      </c>
      <c r="C468" s="1" t="s">
        <v>1260</v>
      </c>
      <c r="E468" s="17" t="s">
        <v>2709</v>
      </c>
    </row>
    <row r="469" spans="1:5" x14ac:dyDescent="0.25">
      <c r="A469" s="3" t="s">
        <v>433</v>
      </c>
      <c r="B469" s="17" t="s">
        <v>1163</v>
      </c>
      <c r="C469" s="1" t="s">
        <v>1225</v>
      </c>
      <c r="E469" s="17" t="s">
        <v>2710</v>
      </c>
    </row>
    <row r="470" spans="1:5" x14ac:dyDescent="0.25">
      <c r="A470" s="3" t="s">
        <v>434</v>
      </c>
      <c r="B470" s="17" t="s">
        <v>1163</v>
      </c>
      <c r="C470" s="1" t="s">
        <v>1260</v>
      </c>
      <c r="E470" s="17" t="s">
        <v>2711</v>
      </c>
    </row>
    <row r="471" spans="1:5" x14ac:dyDescent="0.25">
      <c r="A471" s="3" t="s">
        <v>435</v>
      </c>
      <c r="B471" s="17" t="s">
        <v>1163</v>
      </c>
      <c r="C471" s="1" t="s">
        <v>1225</v>
      </c>
      <c r="E471" s="17" t="s">
        <v>2712</v>
      </c>
    </row>
    <row r="472" spans="1:5" x14ac:dyDescent="0.25">
      <c r="A472" s="3" t="s">
        <v>436</v>
      </c>
      <c r="B472" s="17" t="s">
        <v>1163</v>
      </c>
      <c r="C472" s="1" t="s">
        <v>1260</v>
      </c>
      <c r="E472" s="17" t="s">
        <v>2713</v>
      </c>
    </row>
    <row r="473" spans="1:5" x14ac:dyDescent="0.25">
      <c r="A473" s="3" t="s">
        <v>437</v>
      </c>
      <c r="B473" s="17" t="s">
        <v>1163</v>
      </c>
      <c r="C473" s="1" t="s">
        <v>1225</v>
      </c>
      <c r="E473" s="17" t="s">
        <v>2717</v>
      </c>
    </row>
    <row r="474" spans="1:5" x14ac:dyDescent="0.25">
      <c r="A474" s="3" t="s">
        <v>438</v>
      </c>
      <c r="B474" s="17" t="s">
        <v>1163</v>
      </c>
      <c r="C474" s="1" t="s">
        <v>1260</v>
      </c>
      <c r="E474" s="17" t="s">
        <v>2718</v>
      </c>
    </row>
    <row r="475" spans="1:5" x14ac:dyDescent="0.25">
      <c r="A475" s="3" t="s">
        <v>439</v>
      </c>
      <c r="B475" s="17" t="s">
        <v>1163</v>
      </c>
      <c r="C475" s="1" t="s">
        <v>1225</v>
      </c>
      <c r="E475" s="17" t="s">
        <v>2719</v>
      </c>
    </row>
    <row r="476" spans="1:5" x14ac:dyDescent="0.25">
      <c r="A476" s="3" t="s">
        <v>440</v>
      </c>
      <c r="B476" s="17" t="s">
        <v>1163</v>
      </c>
      <c r="C476" s="1" t="s">
        <v>1260</v>
      </c>
      <c r="E476" s="17" t="s">
        <v>2720</v>
      </c>
    </row>
    <row r="477" spans="1:5" x14ac:dyDescent="0.25">
      <c r="A477" s="3" t="s">
        <v>1173</v>
      </c>
      <c r="B477" s="17" t="s">
        <v>1163</v>
      </c>
      <c r="C477" s="1" t="s">
        <v>1225</v>
      </c>
      <c r="E477" s="17" t="s">
        <v>2721</v>
      </c>
    </row>
    <row r="478" spans="1:5" x14ac:dyDescent="0.25">
      <c r="A478" s="3" t="s">
        <v>441</v>
      </c>
      <c r="B478" s="17" t="s">
        <v>1163</v>
      </c>
      <c r="C478" s="1" t="s">
        <v>1260</v>
      </c>
      <c r="E478" s="17" t="s">
        <v>2722</v>
      </c>
    </row>
    <row r="479" spans="1:5" x14ac:dyDescent="0.25">
      <c r="A479" s="3" t="s">
        <v>442</v>
      </c>
      <c r="B479" s="17" t="s">
        <v>1163</v>
      </c>
      <c r="C479" s="1" t="s">
        <v>1225</v>
      </c>
      <c r="E479" s="17" t="s">
        <v>2723</v>
      </c>
    </row>
    <row r="480" spans="1:5" x14ac:dyDescent="0.25">
      <c r="A480" s="3" t="s">
        <v>443</v>
      </c>
      <c r="B480" s="17" t="s">
        <v>1163</v>
      </c>
      <c r="C480" s="1" t="s">
        <v>1260</v>
      </c>
      <c r="E480" s="17" t="s">
        <v>2724</v>
      </c>
    </row>
    <row r="481" spans="1:5" x14ac:dyDescent="0.25">
      <c r="A481" s="3" t="s">
        <v>444</v>
      </c>
      <c r="B481" s="17" t="s">
        <v>1163</v>
      </c>
      <c r="C481" s="1" t="s">
        <v>1225</v>
      </c>
      <c r="E481" s="17" t="s">
        <v>2725</v>
      </c>
    </row>
    <row r="482" spans="1:5" x14ac:dyDescent="0.25">
      <c r="A482" s="3" t="s">
        <v>445</v>
      </c>
      <c r="B482" s="17" t="s">
        <v>1163</v>
      </c>
      <c r="C482" s="1" t="s">
        <v>1260</v>
      </c>
      <c r="E482" s="17" t="s">
        <v>2726</v>
      </c>
    </row>
    <row r="483" spans="1:5" x14ac:dyDescent="0.25">
      <c r="A483" s="3" t="s">
        <v>446</v>
      </c>
      <c r="B483" s="17" t="s">
        <v>1163</v>
      </c>
      <c r="C483" s="1" t="s">
        <v>1225</v>
      </c>
      <c r="E483" s="17" t="s">
        <v>2727</v>
      </c>
    </row>
    <row r="484" spans="1:5" x14ac:dyDescent="0.25">
      <c r="A484" s="3" t="s">
        <v>447</v>
      </c>
      <c r="B484" s="17" t="s">
        <v>1163</v>
      </c>
      <c r="C484" s="1" t="s">
        <v>1260</v>
      </c>
      <c r="E484" s="17" t="s">
        <v>2728</v>
      </c>
    </row>
    <row r="485" spans="1:5" x14ac:dyDescent="0.25">
      <c r="A485" s="3" t="s">
        <v>448</v>
      </c>
      <c r="B485" s="17" t="s">
        <v>1163</v>
      </c>
      <c r="C485" s="1" t="s">
        <v>1225</v>
      </c>
      <c r="E485" s="17" t="s">
        <v>2729</v>
      </c>
    </row>
    <row r="486" spans="1:5" x14ac:dyDescent="0.25">
      <c r="A486" s="3" t="s">
        <v>449</v>
      </c>
      <c r="B486" s="17" t="s">
        <v>1163</v>
      </c>
      <c r="C486" s="1" t="s">
        <v>1260</v>
      </c>
      <c r="E486" s="17" t="s">
        <v>2730</v>
      </c>
    </row>
    <row r="487" spans="1:5" x14ac:dyDescent="0.25">
      <c r="A487" s="3" t="s">
        <v>450</v>
      </c>
      <c r="B487" s="17" t="s">
        <v>1163</v>
      </c>
      <c r="C487" s="1" t="s">
        <v>1225</v>
      </c>
      <c r="E487" s="17" t="s">
        <v>2731</v>
      </c>
    </row>
    <row r="488" spans="1:5" x14ac:dyDescent="0.25">
      <c r="A488" s="3" t="s">
        <v>451</v>
      </c>
      <c r="B488" s="17" t="s">
        <v>1163</v>
      </c>
      <c r="C488" s="1" t="s">
        <v>1260</v>
      </c>
      <c r="E488" s="17" t="s">
        <v>2732</v>
      </c>
    </row>
    <row r="489" spans="1:5" x14ac:dyDescent="0.25">
      <c r="A489" s="3" t="s">
        <v>452</v>
      </c>
      <c r="B489" s="17" t="s">
        <v>1163</v>
      </c>
      <c r="C489" s="1" t="s">
        <v>1225</v>
      </c>
      <c r="E489" s="17" t="s">
        <v>2733</v>
      </c>
    </row>
    <row r="490" spans="1:5" x14ac:dyDescent="0.25">
      <c r="A490" s="3" t="s">
        <v>453</v>
      </c>
      <c r="B490" s="17" t="s">
        <v>1163</v>
      </c>
      <c r="C490" s="1" t="s">
        <v>1260</v>
      </c>
      <c r="E490" s="17" t="s">
        <v>2734</v>
      </c>
    </row>
    <row r="491" spans="1:5" x14ac:dyDescent="0.25">
      <c r="A491" s="3" t="s">
        <v>454</v>
      </c>
      <c r="B491" s="17" t="s">
        <v>1163</v>
      </c>
      <c r="C491" s="1" t="s">
        <v>1225</v>
      </c>
      <c r="E491" s="17" t="s">
        <v>2735</v>
      </c>
    </row>
    <row r="492" spans="1:5" x14ac:dyDescent="0.25">
      <c r="A492" s="3" t="s">
        <v>455</v>
      </c>
      <c r="B492" s="17" t="s">
        <v>1163</v>
      </c>
      <c r="C492" s="1" t="s">
        <v>1260</v>
      </c>
      <c r="E492" s="17" t="s">
        <v>2714</v>
      </c>
    </row>
    <row r="493" spans="1:5" x14ac:dyDescent="0.25">
      <c r="A493" s="3" t="s">
        <v>456</v>
      </c>
      <c r="B493" s="17" t="s">
        <v>1163</v>
      </c>
      <c r="C493" s="1" t="s">
        <v>1225</v>
      </c>
      <c r="E493" s="17" t="s">
        <v>2715</v>
      </c>
    </row>
    <row r="494" spans="1:5" x14ac:dyDescent="0.25">
      <c r="A494" s="3" t="s">
        <v>457</v>
      </c>
      <c r="B494" s="17" t="s">
        <v>1163</v>
      </c>
      <c r="C494" s="1" t="s">
        <v>1260</v>
      </c>
      <c r="E494" s="17" t="s">
        <v>2716</v>
      </c>
    </row>
    <row r="495" spans="1:5" x14ac:dyDescent="0.25">
      <c r="A495" s="3" t="s">
        <v>458</v>
      </c>
      <c r="B495" s="17" t="s">
        <v>1163</v>
      </c>
      <c r="C495" s="1" t="s">
        <v>1225</v>
      </c>
      <c r="E495" s="17" t="s">
        <v>2736</v>
      </c>
    </row>
    <row r="496" spans="1:5" x14ac:dyDescent="0.25">
      <c r="A496" s="3" t="s">
        <v>459</v>
      </c>
      <c r="B496" s="17" t="s">
        <v>1163</v>
      </c>
      <c r="C496" s="1" t="s">
        <v>1260</v>
      </c>
      <c r="E496" s="17" t="s">
        <v>2737</v>
      </c>
    </row>
    <row r="497" spans="1:5" x14ac:dyDescent="0.25">
      <c r="A497" s="3" t="s">
        <v>460</v>
      </c>
      <c r="B497" s="17" t="s">
        <v>1163</v>
      </c>
      <c r="C497" s="1" t="s">
        <v>1225</v>
      </c>
      <c r="E497" s="17" t="s">
        <v>2738</v>
      </c>
    </row>
    <row r="498" spans="1:5" x14ac:dyDescent="0.25">
      <c r="A498" s="3" t="s">
        <v>461</v>
      </c>
      <c r="B498" s="17" t="s">
        <v>1163</v>
      </c>
      <c r="C498" s="1" t="s">
        <v>1260</v>
      </c>
      <c r="E498" s="17" t="s">
        <v>2753</v>
      </c>
    </row>
    <row r="499" spans="1:5" x14ac:dyDescent="0.25">
      <c r="A499" s="3" t="s">
        <v>462</v>
      </c>
      <c r="B499" s="17" t="s">
        <v>1163</v>
      </c>
      <c r="C499" s="1" t="s">
        <v>1225</v>
      </c>
      <c r="E499" s="17" t="s">
        <v>2754</v>
      </c>
    </row>
    <row r="500" spans="1:5" x14ac:dyDescent="0.25">
      <c r="A500" s="3" t="s">
        <v>463</v>
      </c>
      <c r="B500" s="17" t="s">
        <v>1163</v>
      </c>
      <c r="C500" s="1" t="s">
        <v>1260</v>
      </c>
      <c r="E500" s="17" t="s">
        <v>2755</v>
      </c>
    </row>
    <row r="501" spans="1:5" x14ac:dyDescent="0.25">
      <c r="A501" s="3" t="s">
        <v>464</v>
      </c>
      <c r="B501" s="17" t="s">
        <v>1163</v>
      </c>
      <c r="C501" s="1" t="s">
        <v>1225</v>
      </c>
      <c r="E501" s="17" t="s">
        <v>2740</v>
      </c>
    </row>
    <row r="502" spans="1:5" x14ac:dyDescent="0.25">
      <c r="A502" s="3" t="s">
        <v>465</v>
      </c>
      <c r="B502" s="17" t="s">
        <v>1163</v>
      </c>
      <c r="C502" s="1" t="s">
        <v>1260</v>
      </c>
      <c r="E502" s="17" t="s">
        <v>2741</v>
      </c>
    </row>
    <row r="503" spans="1:5" x14ac:dyDescent="0.25">
      <c r="A503" s="3" t="s">
        <v>466</v>
      </c>
      <c r="B503" s="17" t="s">
        <v>1163</v>
      </c>
      <c r="C503" s="1" t="s">
        <v>1225</v>
      </c>
      <c r="E503" s="17" t="s">
        <v>2756</v>
      </c>
    </row>
    <row r="504" spans="1:5" x14ac:dyDescent="0.25">
      <c r="A504" s="3" t="s">
        <v>467</v>
      </c>
      <c r="B504" s="17" t="s">
        <v>1163</v>
      </c>
      <c r="C504" s="1" t="s">
        <v>1260</v>
      </c>
      <c r="E504" s="17" t="s">
        <v>2757</v>
      </c>
    </row>
    <row r="505" spans="1:5" x14ac:dyDescent="0.25">
      <c r="A505" s="3" t="s">
        <v>468</v>
      </c>
      <c r="B505" s="17" t="s">
        <v>1163</v>
      </c>
      <c r="C505" s="1" t="s">
        <v>1225</v>
      </c>
      <c r="E505" s="17" t="s">
        <v>2758</v>
      </c>
    </row>
    <row r="506" spans="1:5" x14ac:dyDescent="0.25">
      <c r="A506" s="3" t="s">
        <v>469</v>
      </c>
      <c r="B506" s="17" t="s">
        <v>1163</v>
      </c>
      <c r="C506" s="1" t="s">
        <v>1260</v>
      </c>
      <c r="E506" s="17" t="s">
        <v>2759</v>
      </c>
    </row>
    <row r="507" spans="1:5" x14ac:dyDescent="0.25">
      <c r="A507" s="3" t="s">
        <v>470</v>
      </c>
      <c r="B507" s="17" t="s">
        <v>1163</v>
      </c>
      <c r="C507" s="1" t="s">
        <v>1225</v>
      </c>
      <c r="E507" s="17" t="s">
        <v>2760</v>
      </c>
    </row>
    <row r="508" spans="1:5" x14ac:dyDescent="0.25">
      <c r="A508" s="3" t="s">
        <v>471</v>
      </c>
      <c r="B508" s="17" t="s">
        <v>1163</v>
      </c>
      <c r="C508" s="1" t="s">
        <v>1260</v>
      </c>
      <c r="E508" s="17" t="s">
        <v>2739</v>
      </c>
    </row>
    <row r="509" spans="1:5" x14ac:dyDescent="0.25">
      <c r="A509" s="3" t="s">
        <v>472</v>
      </c>
      <c r="B509" s="17" t="s">
        <v>1163</v>
      </c>
      <c r="C509" s="1" t="s">
        <v>1225</v>
      </c>
      <c r="E509" s="17" t="s">
        <v>2742</v>
      </c>
    </row>
    <row r="510" spans="1:5" x14ac:dyDescent="0.25">
      <c r="A510" s="3" t="s">
        <v>473</v>
      </c>
      <c r="B510" s="17" t="s">
        <v>1163</v>
      </c>
      <c r="C510" s="1" t="s">
        <v>1260</v>
      </c>
      <c r="E510" s="17" t="s">
        <v>2743</v>
      </c>
    </row>
    <row r="511" spans="1:5" x14ac:dyDescent="0.25">
      <c r="A511" s="3" t="s">
        <v>474</v>
      </c>
      <c r="B511" s="17" t="s">
        <v>1163</v>
      </c>
      <c r="C511" s="1" t="s">
        <v>1225</v>
      </c>
      <c r="E511" s="17" t="s">
        <v>2744</v>
      </c>
    </row>
    <row r="512" spans="1:5" x14ac:dyDescent="0.25">
      <c r="A512" s="3" t="s">
        <v>475</v>
      </c>
      <c r="B512" s="17" t="s">
        <v>1163</v>
      </c>
      <c r="C512" s="1" t="s">
        <v>1260</v>
      </c>
      <c r="E512" s="17" t="s">
        <v>2745</v>
      </c>
    </row>
    <row r="513" spans="1:5" x14ac:dyDescent="0.25">
      <c r="A513" s="3" t="s">
        <v>476</v>
      </c>
      <c r="B513" s="17" t="s">
        <v>1163</v>
      </c>
      <c r="C513" s="1" t="s">
        <v>1225</v>
      </c>
      <c r="E513" s="17" t="s">
        <v>2746</v>
      </c>
    </row>
    <row r="514" spans="1:5" x14ac:dyDescent="0.25">
      <c r="A514" s="3" t="s">
        <v>477</v>
      </c>
      <c r="B514" s="17" t="s">
        <v>1163</v>
      </c>
      <c r="C514" s="1" t="s">
        <v>1260</v>
      </c>
      <c r="E514" s="17" t="s">
        <v>2747</v>
      </c>
    </row>
    <row r="515" spans="1:5" x14ac:dyDescent="0.25">
      <c r="A515" s="3" t="s">
        <v>478</v>
      </c>
      <c r="B515" s="17" t="s">
        <v>1163</v>
      </c>
      <c r="C515" s="1" t="s">
        <v>1225</v>
      </c>
      <c r="E515" s="17" t="s">
        <v>2748</v>
      </c>
    </row>
    <row r="516" spans="1:5" x14ac:dyDescent="0.25">
      <c r="A516" s="3" t="s">
        <v>479</v>
      </c>
      <c r="B516" s="17" t="s">
        <v>1163</v>
      </c>
      <c r="C516" s="1" t="s">
        <v>1260</v>
      </c>
      <c r="E516" s="17" t="s">
        <v>2749</v>
      </c>
    </row>
    <row r="517" spans="1:5" x14ac:dyDescent="0.25">
      <c r="A517" s="3" t="s">
        <v>480</v>
      </c>
      <c r="B517" s="17" t="s">
        <v>1163</v>
      </c>
      <c r="C517" s="1" t="s">
        <v>1225</v>
      </c>
      <c r="E517" s="17" t="s">
        <v>2750</v>
      </c>
    </row>
    <row r="518" spans="1:5" x14ac:dyDescent="0.25">
      <c r="A518" s="3" t="s">
        <v>481</v>
      </c>
      <c r="B518" s="17" t="s">
        <v>1163</v>
      </c>
      <c r="C518" s="1" t="s">
        <v>1260</v>
      </c>
      <c r="E518" s="17" t="s">
        <v>2751</v>
      </c>
    </row>
    <row r="519" spans="1:5" x14ac:dyDescent="0.25">
      <c r="A519" s="3" t="s">
        <v>482</v>
      </c>
      <c r="B519" s="17" t="s">
        <v>1163</v>
      </c>
      <c r="C519" s="1" t="s">
        <v>1225</v>
      </c>
      <c r="E519" s="17" t="s">
        <v>2752</v>
      </c>
    </row>
    <row r="520" spans="1:5" x14ac:dyDescent="0.25">
      <c r="A520" s="3" t="s">
        <v>483</v>
      </c>
      <c r="B520" s="17" t="s">
        <v>1163</v>
      </c>
      <c r="C520" s="1" t="s">
        <v>1260</v>
      </c>
      <c r="E520" s="17" t="s">
        <v>2761</v>
      </c>
    </row>
    <row r="521" spans="1:5" x14ac:dyDescent="0.25">
      <c r="A521" s="3" t="s">
        <v>484</v>
      </c>
      <c r="B521" s="17" t="s">
        <v>1163</v>
      </c>
      <c r="C521" s="1" t="s">
        <v>1225</v>
      </c>
      <c r="E521" s="17" t="s">
        <v>2762</v>
      </c>
    </row>
    <row r="522" spans="1:5" x14ac:dyDescent="0.25">
      <c r="A522" s="3" t="s">
        <v>485</v>
      </c>
      <c r="B522" s="17" t="s">
        <v>1163</v>
      </c>
      <c r="C522" s="1" t="s">
        <v>1260</v>
      </c>
      <c r="E522" s="17" t="s">
        <v>2763</v>
      </c>
    </row>
    <row r="523" spans="1:5" x14ac:dyDescent="0.25">
      <c r="A523" s="3" t="s">
        <v>486</v>
      </c>
      <c r="B523" s="17" t="s">
        <v>1163</v>
      </c>
      <c r="C523" s="1" t="s">
        <v>1225</v>
      </c>
      <c r="E523" s="17" t="s">
        <v>2766</v>
      </c>
    </row>
    <row r="524" spans="1:5" x14ac:dyDescent="0.25">
      <c r="A524" s="3" t="s">
        <v>487</v>
      </c>
      <c r="B524" s="17" t="s">
        <v>1163</v>
      </c>
      <c r="C524" s="1" t="s">
        <v>1260</v>
      </c>
      <c r="E524" s="17" t="s">
        <v>2767</v>
      </c>
    </row>
    <row r="525" spans="1:5" x14ac:dyDescent="0.25">
      <c r="A525" s="3" t="s">
        <v>488</v>
      </c>
      <c r="B525" s="17" t="s">
        <v>1163</v>
      </c>
      <c r="C525" s="1" t="s">
        <v>1225</v>
      </c>
      <c r="E525" s="17" t="s">
        <v>2768</v>
      </c>
    </row>
    <row r="526" spans="1:5" x14ac:dyDescent="0.25">
      <c r="A526" s="3" t="s">
        <v>489</v>
      </c>
      <c r="B526" s="17" t="s">
        <v>1163</v>
      </c>
      <c r="C526" s="1" t="s">
        <v>1260</v>
      </c>
      <c r="E526" s="17" t="s">
        <v>2769</v>
      </c>
    </row>
    <row r="527" spans="1:5" x14ac:dyDescent="0.25">
      <c r="A527" s="3" t="s">
        <v>490</v>
      </c>
      <c r="B527" s="17" t="s">
        <v>1163</v>
      </c>
      <c r="C527" s="1" t="s">
        <v>1225</v>
      </c>
      <c r="E527" s="17" t="s">
        <v>2770</v>
      </c>
    </row>
    <row r="528" spans="1:5" x14ac:dyDescent="0.25">
      <c r="A528" s="3" t="s">
        <v>491</v>
      </c>
      <c r="B528" s="17" t="s">
        <v>1163</v>
      </c>
      <c r="C528" s="1" t="s">
        <v>1260</v>
      </c>
      <c r="E528" s="17" t="s">
        <v>2771</v>
      </c>
    </row>
    <row r="529" spans="1:6" x14ac:dyDescent="0.25">
      <c r="A529" s="3" t="s">
        <v>492</v>
      </c>
      <c r="B529" s="17" t="s">
        <v>1163</v>
      </c>
      <c r="C529" s="1" t="s">
        <v>1225</v>
      </c>
      <c r="E529" s="17" t="s">
        <v>2772</v>
      </c>
    </row>
    <row r="530" spans="1:6" x14ac:dyDescent="0.25">
      <c r="A530" s="3" t="s">
        <v>493</v>
      </c>
      <c r="B530" s="17" t="s">
        <v>1163</v>
      </c>
      <c r="C530" s="1" t="s">
        <v>1260</v>
      </c>
      <c r="E530" s="17" t="s">
        <v>2764</v>
      </c>
    </row>
    <row r="531" spans="1:6" x14ac:dyDescent="0.25">
      <c r="A531" s="3" t="s">
        <v>494</v>
      </c>
      <c r="B531" s="17" t="s">
        <v>1163</v>
      </c>
      <c r="C531" s="1" t="s">
        <v>1225</v>
      </c>
      <c r="E531" s="17" t="s">
        <v>2765</v>
      </c>
    </row>
    <row r="532" spans="1:6" x14ac:dyDescent="0.25">
      <c r="A532" s="3" t="s">
        <v>495</v>
      </c>
      <c r="B532" s="17" t="s">
        <v>1163</v>
      </c>
      <c r="C532" s="1" t="s">
        <v>1260</v>
      </c>
      <c r="E532" s="17" t="s">
        <v>2773</v>
      </c>
    </row>
    <row r="533" spans="1:6" x14ac:dyDescent="0.25">
      <c r="A533" s="3" t="s">
        <v>496</v>
      </c>
      <c r="B533" s="17" t="s">
        <v>1163</v>
      </c>
      <c r="C533" s="1" t="s">
        <v>1225</v>
      </c>
      <c r="E533" s="17" t="s">
        <v>2774</v>
      </c>
    </row>
    <row r="534" spans="1:6" x14ac:dyDescent="0.25">
      <c r="A534" s="3" t="s">
        <v>497</v>
      </c>
      <c r="B534" s="17" t="s">
        <v>1163</v>
      </c>
      <c r="C534" s="1" t="s">
        <v>1260</v>
      </c>
      <c r="E534" s="17" t="s">
        <v>2775</v>
      </c>
    </row>
    <row r="535" spans="1:6" x14ac:dyDescent="0.25">
      <c r="A535" s="3" t="s">
        <v>498</v>
      </c>
      <c r="B535" s="17" t="s">
        <v>1163</v>
      </c>
      <c r="C535" s="1" t="s">
        <v>1225</v>
      </c>
      <c r="E535" s="17" t="s">
        <v>2776</v>
      </c>
    </row>
    <row r="536" spans="1:6" x14ac:dyDescent="0.25">
      <c r="A536" s="3" t="s">
        <v>499</v>
      </c>
      <c r="B536" s="17" t="s">
        <v>1163</v>
      </c>
      <c r="C536" s="1" t="s">
        <v>1260</v>
      </c>
      <c r="E536" s="17" t="s">
        <v>2777</v>
      </c>
    </row>
    <row r="537" spans="1:6" x14ac:dyDescent="0.25">
      <c r="A537" s="3" t="s">
        <v>500</v>
      </c>
      <c r="B537" s="17" t="s">
        <v>1163</v>
      </c>
      <c r="C537" s="1" t="s">
        <v>1225</v>
      </c>
      <c r="E537" s="17" t="s">
        <v>2778</v>
      </c>
    </row>
    <row r="538" spans="1:6" x14ac:dyDescent="0.25">
      <c r="A538" s="3" t="s">
        <v>501</v>
      </c>
      <c r="B538" s="17" t="s">
        <v>1163</v>
      </c>
      <c r="C538" s="1" t="s">
        <v>1260</v>
      </c>
      <c r="E538" s="17" t="s">
        <v>2779</v>
      </c>
    </row>
    <row r="539" spans="1:6" x14ac:dyDescent="0.25">
      <c r="A539" s="3" t="s">
        <v>502</v>
      </c>
      <c r="B539" s="17" t="s">
        <v>1163</v>
      </c>
      <c r="C539" s="1" t="s">
        <v>1225</v>
      </c>
      <c r="E539" s="17" t="s">
        <v>2780</v>
      </c>
    </row>
    <row r="540" spans="1:6" x14ac:dyDescent="0.25">
      <c r="A540" s="3" t="s">
        <v>503</v>
      </c>
      <c r="B540" s="17" t="s">
        <v>1163</v>
      </c>
      <c r="C540" s="1" t="s">
        <v>1260</v>
      </c>
      <c r="E540" s="17" t="s">
        <v>2781</v>
      </c>
    </row>
    <row r="541" spans="1:6" x14ac:dyDescent="0.25">
      <c r="A541" s="3" t="s">
        <v>504</v>
      </c>
      <c r="B541" s="17" t="s">
        <v>1163</v>
      </c>
      <c r="C541" s="1" t="s">
        <v>1225</v>
      </c>
      <c r="E541" s="17" t="s">
        <v>2782</v>
      </c>
    </row>
    <row r="542" spans="1:6" x14ac:dyDescent="0.25">
      <c r="A542" s="3" t="s">
        <v>505</v>
      </c>
      <c r="B542" s="17" t="s">
        <v>1163</v>
      </c>
      <c r="C542" s="1" t="s">
        <v>1260</v>
      </c>
      <c r="E542" s="17" t="s">
        <v>2783</v>
      </c>
    </row>
    <row r="543" spans="1:6" x14ac:dyDescent="0.25">
      <c r="A543" s="3" t="s">
        <v>506</v>
      </c>
      <c r="B543" s="17" t="s">
        <v>1163</v>
      </c>
      <c r="C543" s="1" t="s">
        <v>1225</v>
      </c>
      <c r="D543" s="17"/>
      <c r="E543" s="17" t="s">
        <v>2784</v>
      </c>
      <c r="F543" s="3"/>
    </row>
    <row r="544" spans="1:6" x14ac:dyDescent="0.25">
      <c r="A544" s="3" t="s">
        <v>507</v>
      </c>
      <c r="B544" s="17" t="s">
        <v>1163</v>
      </c>
      <c r="C544" s="1" t="s">
        <v>1260</v>
      </c>
      <c r="D544" s="17"/>
      <c r="E544" s="17"/>
      <c r="F544" s="17" t="s">
        <v>2785</v>
      </c>
    </row>
    <row r="545" spans="1:6" x14ac:dyDescent="0.25">
      <c r="A545" s="3" t="s">
        <v>508</v>
      </c>
      <c r="B545" s="17" t="s">
        <v>1163</v>
      </c>
      <c r="C545" s="1" t="s">
        <v>1225</v>
      </c>
      <c r="D545" s="17"/>
      <c r="E545" s="17"/>
      <c r="F545" s="3"/>
    </row>
    <row r="546" spans="1:6" x14ac:dyDescent="0.25">
      <c r="A546" s="3" t="s">
        <v>509</v>
      </c>
      <c r="B546" s="17" t="s">
        <v>1163</v>
      </c>
      <c r="C546" s="1" t="s">
        <v>1260</v>
      </c>
      <c r="D546" s="17"/>
      <c r="E546" s="17"/>
      <c r="F546" s="3"/>
    </row>
    <row r="547" spans="1:6" x14ac:dyDescent="0.25">
      <c r="A547" s="3" t="s">
        <v>510</v>
      </c>
      <c r="B547" s="17" t="s">
        <v>1163</v>
      </c>
      <c r="C547" s="1" t="s">
        <v>1225</v>
      </c>
      <c r="D547" s="17"/>
      <c r="E547" s="17" t="s">
        <v>2786</v>
      </c>
      <c r="F547" s="3"/>
    </row>
    <row r="548" spans="1:6" x14ac:dyDescent="0.25">
      <c r="A548" s="3" t="s">
        <v>511</v>
      </c>
      <c r="B548" s="17" t="s">
        <v>1163</v>
      </c>
      <c r="C548" s="1" t="s">
        <v>1260</v>
      </c>
      <c r="D548" s="17"/>
      <c r="E548" s="17"/>
      <c r="F548" s="17" t="s">
        <v>2787</v>
      </c>
    </row>
    <row r="549" spans="1:6" x14ac:dyDescent="0.25">
      <c r="A549" s="3" t="s">
        <v>512</v>
      </c>
      <c r="B549" s="17" t="s">
        <v>1163</v>
      </c>
      <c r="C549" s="1" t="s">
        <v>1225</v>
      </c>
      <c r="D549" s="17"/>
      <c r="E549" s="17"/>
      <c r="F549" s="17" t="s">
        <v>2788</v>
      </c>
    </row>
    <row r="550" spans="1:6" x14ac:dyDescent="0.25">
      <c r="A550" s="3" t="s">
        <v>513</v>
      </c>
      <c r="B550" s="17" t="s">
        <v>1163</v>
      </c>
      <c r="C550" s="1" t="s">
        <v>1260</v>
      </c>
      <c r="D550" s="17"/>
      <c r="E550" s="17"/>
      <c r="F550" s="17" t="s">
        <v>2789</v>
      </c>
    </row>
    <row r="551" spans="1:6" x14ac:dyDescent="0.25">
      <c r="A551" s="3" t="s">
        <v>514</v>
      </c>
      <c r="B551" s="17" t="s">
        <v>1163</v>
      </c>
      <c r="C551" s="1" t="s">
        <v>1225</v>
      </c>
      <c r="D551" s="17"/>
      <c r="E551" s="17"/>
      <c r="F551" s="17" t="s">
        <v>2790</v>
      </c>
    </row>
    <row r="552" spans="1:6" x14ac:dyDescent="0.25">
      <c r="A552" s="3" t="s">
        <v>515</v>
      </c>
      <c r="B552" s="17" t="s">
        <v>1163</v>
      </c>
      <c r="C552" s="1" t="s">
        <v>1260</v>
      </c>
      <c r="D552" s="17"/>
      <c r="E552" s="17"/>
      <c r="F552" s="17" t="s">
        <v>2791</v>
      </c>
    </row>
    <row r="553" spans="1:6" x14ac:dyDescent="0.25">
      <c r="A553" s="3" t="s">
        <v>516</v>
      </c>
      <c r="B553" s="17" t="s">
        <v>1163</v>
      </c>
      <c r="C553" s="1" t="s">
        <v>1225</v>
      </c>
      <c r="D553" s="17"/>
      <c r="E553" s="17"/>
      <c r="F553" s="17" t="s">
        <v>2792</v>
      </c>
    </row>
    <row r="554" spans="1:6" x14ac:dyDescent="0.25">
      <c r="A554" s="3" t="s">
        <v>517</v>
      </c>
      <c r="B554" s="17" t="s">
        <v>1163</v>
      </c>
      <c r="C554" s="1" t="s">
        <v>1260</v>
      </c>
      <c r="D554" s="17"/>
      <c r="E554" s="17"/>
      <c r="F554" s="17" t="s">
        <v>2793</v>
      </c>
    </row>
    <row r="555" spans="1:6" x14ac:dyDescent="0.25">
      <c r="A555" s="3" t="s">
        <v>518</v>
      </c>
      <c r="B555" s="17" t="s">
        <v>1163</v>
      </c>
      <c r="C555" s="1" t="s">
        <v>1225</v>
      </c>
      <c r="D555" s="17"/>
      <c r="E555" s="17"/>
      <c r="F555" s="17" t="s">
        <v>2794</v>
      </c>
    </row>
    <row r="556" spans="1:6" x14ac:dyDescent="0.25">
      <c r="A556" s="3" t="s">
        <v>519</v>
      </c>
      <c r="B556" s="17" t="s">
        <v>1163</v>
      </c>
      <c r="C556" s="1" t="s">
        <v>1260</v>
      </c>
      <c r="D556" s="17"/>
      <c r="E556" s="17"/>
      <c r="F556" s="17" t="s">
        <v>2795</v>
      </c>
    </row>
    <row r="557" spans="1:6" x14ac:dyDescent="0.25">
      <c r="A557" s="3" t="s">
        <v>520</v>
      </c>
      <c r="B557" s="17" t="s">
        <v>1163</v>
      </c>
      <c r="C557" s="1" t="s">
        <v>1225</v>
      </c>
      <c r="D557" s="17"/>
      <c r="E557" s="17"/>
      <c r="F557" s="17" t="s">
        <v>2796</v>
      </c>
    </row>
    <row r="558" spans="1:6" x14ac:dyDescent="0.25">
      <c r="A558" s="3" t="s">
        <v>521</v>
      </c>
      <c r="B558" s="17" t="s">
        <v>1163</v>
      </c>
      <c r="C558" s="1" t="s">
        <v>1260</v>
      </c>
      <c r="D558" s="17"/>
      <c r="E558" s="17" t="s">
        <v>2799</v>
      </c>
      <c r="F558" s="3"/>
    </row>
    <row r="559" spans="1:6" x14ac:dyDescent="0.25">
      <c r="A559" s="3" t="s">
        <v>522</v>
      </c>
      <c r="B559" s="17" t="s">
        <v>1163</v>
      </c>
      <c r="C559" s="1" t="s">
        <v>1225</v>
      </c>
      <c r="D559" s="17"/>
      <c r="E559" s="17" t="s">
        <v>2800</v>
      </c>
      <c r="F559" s="3"/>
    </row>
    <row r="560" spans="1:6" x14ac:dyDescent="0.25">
      <c r="A560" s="3" t="s">
        <v>523</v>
      </c>
      <c r="B560" s="17" t="s">
        <v>1163</v>
      </c>
      <c r="C560" s="1" t="s">
        <v>1260</v>
      </c>
      <c r="D560" s="17"/>
      <c r="E560" s="17"/>
      <c r="F560" s="17" t="s">
        <v>2797</v>
      </c>
    </row>
    <row r="561" spans="1:6" x14ac:dyDescent="0.25">
      <c r="A561" s="3" t="s">
        <v>524</v>
      </c>
      <c r="B561" s="17" t="s">
        <v>1163</v>
      </c>
      <c r="C561" s="1" t="s">
        <v>1225</v>
      </c>
      <c r="D561" s="17"/>
      <c r="E561" s="17"/>
      <c r="F561" s="17" t="s">
        <v>2798</v>
      </c>
    </row>
    <row r="562" spans="1:6" x14ac:dyDescent="0.25">
      <c r="A562" s="3" t="s">
        <v>525</v>
      </c>
      <c r="B562" s="17" t="s">
        <v>1163</v>
      </c>
      <c r="C562" s="1" t="s">
        <v>1260</v>
      </c>
      <c r="D562" s="17"/>
      <c r="E562" s="17" t="s">
        <v>2649</v>
      </c>
      <c r="F562" s="17"/>
    </row>
    <row r="563" spans="1:6" x14ac:dyDescent="0.25">
      <c r="A563" s="3" t="s">
        <v>526</v>
      </c>
      <c r="B563" s="17" t="s">
        <v>1163</v>
      </c>
      <c r="C563" s="1" t="s">
        <v>1225</v>
      </c>
      <c r="D563" s="17"/>
      <c r="E563" s="17" t="s">
        <v>2801</v>
      </c>
      <c r="F563" s="3"/>
    </row>
    <row r="564" spans="1:6" x14ac:dyDescent="0.25">
      <c r="D564" s="17"/>
      <c r="E564" s="17"/>
      <c r="F564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5"/>
  <sheetViews>
    <sheetView zoomScale="90" zoomScaleNormal="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6.28515625" bestFit="1" customWidth="1"/>
    <col min="2" max="2" width="12.42578125" bestFit="1" customWidth="1"/>
    <col min="3" max="3" width="20.140625" bestFit="1" customWidth="1"/>
    <col min="4" max="4" width="15.85546875" bestFit="1" customWidth="1"/>
    <col min="5" max="5" width="13.42578125" bestFit="1" customWidth="1"/>
    <col min="6" max="6" width="15.7109375" bestFit="1" customWidth="1"/>
    <col min="7" max="7" width="15.28515625" bestFit="1" customWidth="1"/>
    <col min="9" max="10" width="13.85546875" customWidth="1"/>
    <col min="11" max="11" width="18.140625" bestFit="1" customWidth="1"/>
    <col min="12" max="12" width="12" bestFit="1" customWidth="1"/>
  </cols>
  <sheetData>
    <row r="1" spans="1:11" s="13" customFormat="1" x14ac:dyDescent="0.25">
      <c r="A1" s="13" t="s">
        <v>793</v>
      </c>
      <c r="B1" s="13" t="s">
        <v>527</v>
      </c>
      <c r="C1" s="13" t="s">
        <v>794</v>
      </c>
      <c r="D1" s="13" t="s">
        <v>528</v>
      </c>
      <c r="E1" s="13" t="s">
        <v>795</v>
      </c>
      <c r="F1" s="13" t="s">
        <v>794</v>
      </c>
      <c r="G1" s="13" t="s">
        <v>528</v>
      </c>
      <c r="J1" s="13" t="s">
        <v>1037</v>
      </c>
      <c r="K1" s="13" t="s">
        <v>1035</v>
      </c>
    </row>
    <row r="2" spans="1:11" x14ac:dyDescent="0.25">
      <c r="A2" t="s">
        <v>800</v>
      </c>
      <c r="B2" s="3" t="s">
        <v>529</v>
      </c>
      <c r="C2" s="3" t="s">
        <v>1367</v>
      </c>
      <c r="D2" t="s">
        <v>792</v>
      </c>
      <c r="E2" t="s">
        <v>801</v>
      </c>
      <c r="F2" t="s">
        <v>1438</v>
      </c>
      <c r="G2" t="s">
        <v>802</v>
      </c>
      <c r="K2" t="s">
        <v>1160</v>
      </c>
    </row>
    <row r="3" spans="1:11" x14ac:dyDescent="0.25">
      <c r="A3" t="s">
        <v>800</v>
      </c>
      <c r="B3" s="3" t="s">
        <v>530</v>
      </c>
      <c r="C3" t="s">
        <v>1368</v>
      </c>
      <c r="D3" t="s">
        <v>792</v>
      </c>
      <c r="E3" t="s">
        <v>801</v>
      </c>
      <c r="F3" t="s">
        <v>1439</v>
      </c>
      <c r="G3" t="s">
        <v>802</v>
      </c>
    </row>
    <row r="4" spans="1:11" x14ac:dyDescent="0.25">
      <c r="A4" t="s">
        <v>800</v>
      </c>
      <c r="B4" s="3" t="s">
        <v>531</v>
      </c>
      <c r="C4" t="s">
        <v>1369</v>
      </c>
      <c r="D4" t="s">
        <v>792</v>
      </c>
      <c r="E4" t="s">
        <v>801</v>
      </c>
      <c r="F4" t="s">
        <v>1440</v>
      </c>
      <c r="G4" t="s">
        <v>802</v>
      </c>
    </row>
    <row r="5" spans="1:11" x14ac:dyDescent="0.25">
      <c r="A5" t="s">
        <v>800</v>
      </c>
      <c r="B5" s="3" t="s">
        <v>532</v>
      </c>
      <c r="C5" t="s">
        <v>1370</v>
      </c>
      <c r="D5" t="s">
        <v>792</v>
      </c>
      <c r="E5" t="s">
        <v>801</v>
      </c>
      <c r="F5" t="s">
        <v>1441</v>
      </c>
      <c r="G5" t="s">
        <v>802</v>
      </c>
    </row>
    <row r="6" spans="1:11" x14ac:dyDescent="0.25">
      <c r="A6" t="s">
        <v>800</v>
      </c>
      <c r="B6" s="3" t="s">
        <v>533</v>
      </c>
      <c r="C6" t="s">
        <v>1371</v>
      </c>
      <c r="D6" t="s">
        <v>792</v>
      </c>
      <c r="E6" t="s">
        <v>801</v>
      </c>
      <c r="F6" t="s">
        <v>1442</v>
      </c>
      <c r="G6" t="s">
        <v>802</v>
      </c>
    </row>
    <row r="7" spans="1:11" x14ac:dyDescent="0.25">
      <c r="A7" t="s">
        <v>800</v>
      </c>
      <c r="B7" s="3" t="s">
        <v>534</v>
      </c>
      <c r="C7" t="s">
        <v>1372</v>
      </c>
      <c r="D7" t="s">
        <v>792</v>
      </c>
      <c r="E7" t="s">
        <v>801</v>
      </c>
      <c r="F7" t="s">
        <v>1443</v>
      </c>
      <c r="G7" t="s">
        <v>802</v>
      </c>
    </row>
    <row r="8" spans="1:11" x14ac:dyDescent="0.25">
      <c r="A8" t="s">
        <v>800</v>
      </c>
      <c r="B8" s="3" t="s">
        <v>535</v>
      </c>
      <c r="C8" t="s">
        <v>1373</v>
      </c>
      <c r="D8" t="s">
        <v>792</v>
      </c>
      <c r="E8" t="s">
        <v>801</v>
      </c>
      <c r="F8" t="s">
        <v>1444</v>
      </c>
      <c r="G8" t="s">
        <v>802</v>
      </c>
    </row>
    <row r="9" spans="1:11" x14ac:dyDescent="0.25">
      <c r="A9" t="s">
        <v>800</v>
      </c>
      <c r="B9" s="3" t="s">
        <v>536</v>
      </c>
      <c r="C9" t="s">
        <v>1374</v>
      </c>
      <c r="D9" t="s">
        <v>792</v>
      </c>
      <c r="E9" t="s">
        <v>801</v>
      </c>
      <c r="F9" t="s">
        <v>1445</v>
      </c>
      <c r="G9" t="s">
        <v>802</v>
      </c>
    </row>
    <row r="10" spans="1:11" x14ac:dyDescent="0.25">
      <c r="A10" t="s">
        <v>800</v>
      </c>
      <c r="B10" s="3" t="s">
        <v>537</v>
      </c>
      <c r="C10" t="s">
        <v>1375</v>
      </c>
      <c r="D10" t="s">
        <v>792</v>
      </c>
      <c r="E10" t="s">
        <v>801</v>
      </c>
      <c r="F10" t="s">
        <v>1446</v>
      </c>
      <c r="G10" t="s">
        <v>802</v>
      </c>
    </row>
    <row r="11" spans="1:11" x14ac:dyDescent="0.25">
      <c r="A11" t="s">
        <v>800</v>
      </c>
      <c r="B11" s="3" t="s">
        <v>538</v>
      </c>
      <c r="C11" t="s">
        <v>1376</v>
      </c>
      <c r="D11" t="s">
        <v>792</v>
      </c>
      <c r="E11" t="s">
        <v>801</v>
      </c>
      <c r="F11" t="s">
        <v>1447</v>
      </c>
      <c r="G11" t="s">
        <v>802</v>
      </c>
    </row>
    <row r="12" spans="1:11" x14ac:dyDescent="0.25">
      <c r="A12" t="s">
        <v>800</v>
      </c>
      <c r="B12" s="3" t="s">
        <v>539</v>
      </c>
      <c r="C12" t="s">
        <v>1377</v>
      </c>
      <c r="D12" t="s">
        <v>792</v>
      </c>
      <c r="E12" t="s">
        <v>801</v>
      </c>
      <c r="F12" t="s">
        <v>1448</v>
      </c>
      <c r="G12" t="s">
        <v>802</v>
      </c>
    </row>
    <row r="13" spans="1:11" x14ac:dyDescent="0.25">
      <c r="A13" t="s">
        <v>800</v>
      </c>
      <c r="B13" s="3" t="s">
        <v>540</v>
      </c>
      <c r="C13" t="s">
        <v>1378</v>
      </c>
      <c r="D13" t="s">
        <v>792</v>
      </c>
      <c r="E13" t="s">
        <v>801</v>
      </c>
      <c r="F13" t="s">
        <v>1449</v>
      </c>
      <c r="G13" t="s">
        <v>802</v>
      </c>
    </row>
    <row r="14" spans="1:11" x14ac:dyDescent="0.25">
      <c r="A14" t="s">
        <v>800</v>
      </c>
      <c r="B14" s="3" t="s">
        <v>541</v>
      </c>
      <c r="C14" t="s">
        <v>1379</v>
      </c>
      <c r="D14" t="s">
        <v>792</v>
      </c>
      <c r="E14" t="s">
        <v>801</v>
      </c>
      <c r="F14" t="s">
        <v>1450</v>
      </c>
      <c r="G14" t="s">
        <v>802</v>
      </c>
    </row>
    <row r="15" spans="1:11" x14ac:dyDescent="0.25">
      <c r="A15" t="s">
        <v>800</v>
      </c>
      <c r="B15" s="3" t="s">
        <v>542</v>
      </c>
      <c r="C15" t="s">
        <v>1380</v>
      </c>
      <c r="D15" t="s">
        <v>792</v>
      </c>
      <c r="E15" t="s">
        <v>801</v>
      </c>
      <c r="F15" t="s">
        <v>1451</v>
      </c>
      <c r="G15" t="s">
        <v>802</v>
      </c>
    </row>
    <row r="16" spans="1:11" x14ac:dyDescent="0.25">
      <c r="A16" t="s">
        <v>800</v>
      </c>
      <c r="B16" s="3" t="s">
        <v>543</v>
      </c>
      <c r="C16" t="s">
        <v>1381</v>
      </c>
      <c r="D16" t="s">
        <v>792</v>
      </c>
      <c r="E16" t="s">
        <v>801</v>
      </c>
      <c r="F16" t="s">
        <v>1452</v>
      </c>
      <c r="G16" t="s">
        <v>802</v>
      </c>
    </row>
    <row r="17" spans="1:7" x14ac:dyDescent="0.25">
      <c r="A17" t="s">
        <v>800</v>
      </c>
      <c r="B17" s="3" t="s">
        <v>544</v>
      </c>
      <c r="C17" t="s">
        <v>1382</v>
      </c>
      <c r="D17" t="s">
        <v>792</v>
      </c>
      <c r="E17" t="s">
        <v>801</v>
      </c>
      <c r="F17" t="s">
        <v>1453</v>
      </c>
      <c r="G17" t="s">
        <v>802</v>
      </c>
    </row>
    <row r="18" spans="1:7" x14ac:dyDescent="0.25">
      <c r="A18" t="s">
        <v>800</v>
      </c>
      <c r="B18" s="3" t="s">
        <v>545</v>
      </c>
      <c r="C18" t="s">
        <v>1383</v>
      </c>
      <c r="D18" t="s">
        <v>792</v>
      </c>
      <c r="E18" t="s">
        <v>801</v>
      </c>
      <c r="F18" t="s">
        <v>1454</v>
      </c>
      <c r="G18" t="s">
        <v>802</v>
      </c>
    </row>
    <row r="19" spans="1:7" x14ac:dyDescent="0.25">
      <c r="A19" t="s">
        <v>800</v>
      </c>
      <c r="B19" s="3" t="s">
        <v>546</v>
      </c>
      <c r="C19" t="s">
        <v>1384</v>
      </c>
      <c r="D19" t="s">
        <v>792</v>
      </c>
      <c r="E19" t="s">
        <v>801</v>
      </c>
      <c r="F19" t="s">
        <v>1455</v>
      </c>
      <c r="G19" t="s">
        <v>802</v>
      </c>
    </row>
    <row r="20" spans="1:7" x14ac:dyDescent="0.25">
      <c r="A20" t="s">
        <v>800</v>
      </c>
      <c r="B20" s="3" t="s">
        <v>547</v>
      </c>
      <c r="C20" t="s">
        <v>1385</v>
      </c>
      <c r="D20" t="s">
        <v>792</v>
      </c>
      <c r="E20" t="s">
        <v>801</v>
      </c>
      <c r="F20" t="s">
        <v>1456</v>
      </c>
      <c r="G20" t="s">
        <v>802</v>
      </c>
    </row>
    <row r="21" spans="1:7" x14ac:dyDescent="0.25">
      <c r="A21" t="s">
        <v>800</v>
      </c>
      <c r="B21" s="3" t="s">
        <v>548</v>
      </c>
      <c r="C21" t="s">
        <v>1386</v>
      </c>
      <c r="D21" t="s">
        <v>792</v>
      </c>
      <c r="E21" t="s">
        <v>801</v>
      </c>
      <c r="F21" t="s">
        <v>1457</v>
      </c>
      <c r="G21" t="s">
        <v>802</v>
      </c>
    </row>
    <row r="22" spans="1:7" x14ac:dyDescent="0.25">
      <c r="A22" t="s">
        <v>800</v>
      </c>
      <c r="B22" s="3" t="s">
        <v>549</v>
      </c>
      <c r="C22" t="s">
        <v>1387</v>
      </c>
      <c r="D22" t="s">
        <v>792</v>
      </c>
      <c r="E22" t="s">
        <v>801</v>
      </c>
      <c r="F22" t="s">
        <v>1458</v>
      </c>
      <c r="G22" t="s">
        <v>802</v>
      </c>
    </row>
    <row r="23" spans="1:7" x14ac:dyDescent="0.25">
      <c r="A23" t="s">
        <v>800</v>
      </c>
      <c r="B23" s="3" t="s">
        <v>550</v>
      </c>
      <c r="C23" t="s">
        <v>1388</v>
      </c>
      <c r="D23" t="s">
        <v>792</v>
      </c>
      <c r="E23" t="s">
        <v>801</v>
      </c>
      <c r="F23" t="s">
        <v>1459</v>
      </c>
      <c r="G23" t="s">
        <v>802</v>
      </c>
    </row>
    <row r="24" spans="1:7" x14ac:dyDescent="0.25">
      <c r="A24" t="s">
        <v>800</v>
      </c>
      <c r="B24" s="3" t="s">
        <v>551</v>
      </c>
      <c r="C24" t="s">
        <v>1389</v>
      </c>
      <c r="D24" t="s">
        <v>792</v>
      </c>
      <c r="E24" t="s">
        <v>801</v>
      </c>
      <c r="F24" t="s">
        <v>1460</v>
      </c>
      <c r="G24" t="s">
        <v>802</v>
      </c>
    </row>
    <row r="25" spans="1:7" x14ac:dyDescent="0.25">
      <c r="A25" t="s">
        <v>800</v>
      </c>
      <c r="B25" s="3" t="s">
        <v>552</v>
      </c>
      <c r="C25" t="s">
        <v>1390</v>
      </c>
      <c r="D25" t="s">
        <v>792</v>
      </c>
      <c r="E25" t="s">
        <v>801</v>
      </c>
      <c r="F25" t="s">
        <v>1461</v>
      </c>
      <c r="G25" t="s">
        <v>802</v>
      </c>
    </row>
    <row r="26" spans="1:7" x14ac:dyDescent="0.25">
      <c r="A26" t="s">
        <v>800</v>
      </c>
      <c r="B26" s="3" t="s">
        <v>553</v>
      </c>
      <c r="C26" t="s">
        <v>1391</v>
      </c>
      <c r="D26" t="s">
        <v>792</v>
      </c>
      <c r="E26" t="s">
        <v>801</v>
      </c>
      <c r="F26" t="s">
        <v>1462</v>
      </c>
      <c r="G26" t="s">
        <v>802</v>
      </c>
    </row>
    <row r="27" spans="1:7" x14ac:dyDescent="0.25">
      <c r="A27" t="s">
        <v>800</v>
      </c>
      <c r="B27" s="3" t="s">
        <v>554</v>
      </c>
      <c r="C27" t="s">
        <v>1392</v>
      </c>
      <c r="D27" t="s">
        <v>792</v>
      </c>
      <c r="E27" t="s">
        <v>801</v>
      </c>
      <c r="F27" t="s">
        <v>1463</v>
      </c>
      <c r="G27" t="s">
        <v>802</v>
      </c>
    </row>
    <row r="28" spans="1:7" x14ac:dyDescent="0.25">
      <c r="A28" t="s">
        <v>800</v>
      </c>
      <c r="B28" s="3" t="s">
        <v>555</v>
      </c>
      <c r="C28" t="s">
        <v>1393</v>
      </c>
      <c r="D28" t="s">
        <v>792</v>
      </c>
      <c r="E28" t="s">
        <v>801</v>
      </c>
      <c r="F28" t="s">
        <v>1464</v>
      </c>
      <c r="G28" t="s">
        <v>802</v>
      </c>
    </row>
    <row r="29" spans="1:7" x14ac:dyDescent="0.25">
      <c r="A29" t="s">
        <v>800</v>
      </c>
      <c r="B29" s="3" t="s">
        <v>556</v>
      </c>
      <c r="C29" t="s">
        <v>1394</v>
      </c>
      <c r="D29" t="s">
        <v>792</v>
      </c>
      <c r="E29" t="s">
        <v>801</v>
      </c>
      <c r="F29" t="s">
        <v>1465</v>
      </c>
      <c r="G29" t="s">
        <v>802</v>
      </c>
    </row>
    <row r="30" spans="1:7" x14ac:dyDescent="0.25">
      <c r="A30" t="s">
        <v>800</v>
      </c>
      <c r="B30" s="3" t="s">
        <v>557</v>
      </c>
      <c r="C30" t="s">
        <v>1395</v>
      </c>
      <c r="D30" t="s">
        <v>792</v>
      </c>
      <c r="E30" t="s">
        <v>801</v>
      </c>
      <c r="F30" t="s">
        <v>1466</v>
      </c>
      <c r="G30" t="s">
        <v>802</v>
      </c>
    </row>
    <row r="31" spans="1:7" x14ac:dyDescent="0.25">
      <c r="A31" t="s">
        <v>800</v>
      </c>
      <c r="B31" s="3" t="s">
        <v>558</v>
      </c>
      <c r="C31" t="s">
        <v>1396</v>
      </c>
      <c r="D31" t="s">
        <v>792</v>
      </c>
      <c r="E31" t="s">
        <v>801</v>
      </c>
      <c r="F31" t="s">
        <v>1467</v>
      </c>
      <c r="G31" t="s">
        <v>802</v>
      </c>
    </row>
    <row r="32" spans="1:7" x14ac:dyDescent="0.25">
      <c r="A32" t="s">
        <v>800</v>
      </c>
      <c r="B32" s="3" t="s">
        <v>559</v>
      </c>
      <c r="C32" t="s">
        <v>1397</v>
      </c>
      <c r="D32" t="s">
        <v>792</v>
      </c>
      <c r="E32" t="s">
        <v>801</v>
      </c>
      <c r="F32" t="s">
        <v>1468</v>
      </c>
      <c r="G32" t="s">
        <v>802</v>
      </c>
    </row>
    <row r="33" spans="1:7" x14ac:dyDescent="0.25">
      <c r="A33" t="s">
        <v>800</v>
      </c>
      <c r="B33" s="3" t="s">
        <v>560</v>
      </c>
      <c r="C33" t="s">
        <v>1398</v>
      </c>
      <c r="D33" t="s">
        <v>792</v>
      </c>
      <c r="E33" t="s">
        <v>801</v>
      </c>
      <c r="F33" t="s">
        <v>1469</v>
      </c>
      <c r="G33" t="s">
        <v>802</v>
      </c>
    </row>
    <row r="34" spans="1:7" x14ac:dyDescent="0.25">
      <c r="A34" t="s">
        <v>800</v>
      </c>
      <c r="B34" s="3" t="s">
        <v>561</v>
      </c>
      <c r="C34" t="s">
        <v>1399</v>
      </c>
      <c r="D34" t="s">
        <v>792</v>
      </c>
      <c r="E34" t="s">
        <v>801</v>
      </c>
      <c r="F34" t="s">
        <v>1470</v>
      </c>
      <c r="G34" t="s">
        <v>802</v>
      </c>
    </row>
    <row r="35" spans="1:7" x14ac:dyDescent="0.25">
      <c r="A35" t="s">
        <v>800</v>
      </c>
      <c r="B35" s="3" t="s">
        <v>562</v>
      </c>
      <c r="C35" t="s">
        <v>1400</v>
      </c>
      <c r="D35" t="s">
        <v>792</v>
      </c>
      <c r="E35" t="s">
        <v>801</v>
      </c>
      <c r="F35" t="s">
        <v>1471</v>
      </c>
      <c r="G35" t="s">
        <v>802</v>
      </c>
    </row>
    <row r="36" spans="1:7" x14ac:dyDescent="0.25">
      <c r="A36" t="s">
        <v>800</v>
      </c>
      <c r="B36" s="3" t="s">
        <v>563</v>
      </c>
      <c r="C36" t="s">
        <v>1401</v>
      </c>
      <c r="D36" t="s">
        <v>792</v>
      </c>
      <c r="E36" t="s">
        <v>801</v>
      </c>
      <c r="F36" t="s">
        <v>1472</v>
      </c>
      <c r="G36" t="s">
        <v>802</v>
      </c>
    </row>
    <row r="37" spans="1:7" x14ac:dyDescent="0.25">
      <c r="A37" t="s">
        <v>800</v>
      </c>
      <c r="B37" s="3" t="s">
        <v>564</v>
      </c>
      <c r="C37" t="s">
        <v>1402</v>
      </c>
      <c r="D37" t="s">
        <v>792</v>
      </c>
      <c r="E37" t="s">
        <v>801</v>
      </c>
      <c r="F37" t="s">
        <v>1473</v>
      </c>
      <c r="G37" t="s">
        <v>802</v>
      </c>
    </row>
    <row r="38" spans="1:7" x14ac:dyDescent="0.25">
      <c r="A38" t="s">
        <v>800</v>
      </c>
      <c r="B38" s="3" t="s">
        <v>565</v>
      </c>
      <c r="C38" t="s">
        <v>1403</v>
      </c>
      <c r="D38" t="s">
        <v>792</v>
      </c>
      <c r="E38" t="s">
        <v>801</v>
      </c>
      <c r="F38" t="s">
        <v>1474</v>
      </c>
      <c r="G38" t="s">
        <v>802</v>
      </c>
    </row>
    <row r="39" spans="1:7" x14ac:dyDescent="0.25">
      <c r="A39" t="s">
        <v>800</v>
      </c>
      <c r="B39" s="3" t="s">
        <v>566</v>
      </c>
      <c r="C39" t="s">
        <v>1404</v>
      </c>
      <c r="D39" t="s">
        <v>792</v>
      </c>
      <c r="E39" t="s">
        <v>801</v>
      </c>
      <c r="F39" t="s">
        <v>1475</v>
      </c>
      <c r="G39" t="s">
        <v>802</v>
      </c>
    </row>
    <row r="40" spans="1:7" x14ac:dyDescent="0.25">
      <c r="A40" t="s">
        <v>800</v>
      </c>
      <c r="B40" s="3" t="s">
        <v>567</v>
      </c>
      <c r="C40" t="s">
        <v>1405</v>
      </c>
      <c r="D40" t="s">
        <v>792</v>
      </c>
      <c r="E40" t="s">
        <v>801</v>
      </c>
      <c r="F40" t="s">
        <v>1476</v>
      </c>
      <c r="G40" t="s">
        <v>802</v>
      </c>
    </row>
    <row r="41" spans="1:7" x14ac:dyDescent="0.25">
      <c r="A41" t="s">
        <v>800</v>
      </c>
      <c r="B41" s="3" t="s">
        <v>568</v>
      </c>
      <c r="C41" t="s">
        <v>1406</v>
      </c>
      <c r="D41" t="s">
        <v>792</v>
      </c>
      <c r="E41" t="s">
        <v>801</v>
      </c>
      <c r="F41" t="s">
        <v>1477</v>
      </c>
      <c r="G41" t="s">
        <v>802</v>
      </c>
    </row>
    <row r="42" spans="1:7" x14ac:dyDescent="0.25">
      <c r="A42" t="s">
        <v>800</v>
      </c>
      <c r="B42" s="3" t="s">
        <v>569</v>
      </c>
      <c r="C42" t="s">
        <v>1407</v>
      </c>
      <c r="D42" t="s">
        <v>792</v>
      </c>
      <c r="E42" t="s">
        <v>801</v>
      </c>
      <c r="F42" t="s">
        <v>1478</v>
      </c>
      <c r="G42" t="s">
        <v>802</v>
      </c>
    </row>
    <row r="43" spans="1:7" x14ac:dyDescent="0.25">
      <c r="A43" t="s">
        <v>800</v>
      </c>
      <c r="B43" s="3" t="s">
        <v>570</v>
      </c>
      <c r="C43" t="s">
        <v>1408</v>
      </c>
      <c r="D43" t="s">
        <v>792</v>
      </c>
      <c r="E43" t="s">
        <v>801</v>
      </c>
      <c r="F43" t="s">
        <v>1479</v>
      </c>
      <c r="G43" t="s">
        <v>802</v>
      </c>
    </row>
    <row r="44" spans="1:7" x14ac:dyDescent="0.25">
      <c r="A44" t="s">
        <v>800</v>
      </c>
      <c r="B44" s="3" t="s">
        <v>571</v>
      </c>
      <c r="C44" t="s">
        <v>1409</v>
      </c>
      <c r="D44" t="s">
        <v>792</v>
      </c>
      <c r="E44" t="s">
        <v>801</v>
      </c>
      <c r="F44" t="s">
        <v>1480</v>
      </c>
      <c r="G44" t="s">
        <v>802</v>
      </c>
    </row>
    <row r="45" spans="1:7" x14ac:dyDescent="0.25">
      <c r="A45" t="s">
        <v>800</v>
      </c>
      <c r="B45" s="3" t="s">
        <v>572</v>
      </c>
      <c r="C45" t="s">
        <v>1410</v>
      </c>
      <c r="D45" t="s">
        <v>792</v>
      </c>
      <c r="E45" t="s">
        <v>801</v>
      </c>
      <c r="F45" t="s">
        <v>1481</v>
      </c>
      <c r="G45" t="s">
        <v>802</v>
      </c>
    </row>
    <row r="46" spans="1:7" x14ac:dyDescent="0.25">
      <c r="A46" t="s">
        <v>800</v>
      </c>
      <c r="B46" s="3" t="s">
        <v>573</v>
      </c>
      <c r="C46" t="s">
        <v>1411</v>
      </c>
      <c r="D46" t="s">
        <v>792</v>
      </c>
      <c r="E46" t="s">
        <v>801</v>
      </c>
      <c r="F46" t="s">
        <v>1482</v>
      </c>
      <c r="G46" t="s">
        <v>802</v>
      </c>
    </row>
    <row r="47" spans="1:7" x14ac:dyDescent="0.25">
      <c r="A47" t="s">
        <v>800</v>
      </c>
      <c r="B47" s="3" t="s">
        <v>574</v>
      </c>
      <c r="C47" t="s">
        <v>1412</v>
      </c>
      <c r="D47" t="s">
        <v>792</v>
      </c>
      <c r="E47" t="s">
        <v>801</v>
      </c>
      <c r="F47" t="s">
        <v>1483</v>
      </c>
      <c r="G47" t="s">
        <v>802</v>
      </c>
    </row>
    <row r="48" spans="1:7" x14ac:dyDescent="0.25">
      <c r="A48" t="s">
        <v>800</v>
      </c>
      <c r="B48" s="3" t="s">
        <v>575</v>
      </c>
      <c r="C48" t="s">
        <v>1413</v>
      </c>
      <c r="D48" t="s">
        <v>792</v>
      </c>
      <c r="E48" t="s">
        <v>801</v>
      </c>
      <c r="F48" t="s">
        <v>1484</v>
      </c>
      <c r="G48" t="s">
        <v>802</v>
      </c>
    </row>
    <row r="49" spans="1:7" x14ac:dyDescent="0.25">
      <c r="A49" t="s">
        <v>800</v>
      </c>
      <c r="B49" s="3" t="s">
        <v>576</v>
      </c>
      <c r="C49" t="s">
        <v>1414</v>
      </c>
      <c r="D49" t="s">
        <v>792</v>
      </c>
      <c r="E49" t="s">
        <v>801</v>
      </c>
      <c r="F49" t="s">
        <v>1485</v>
      </c>
      <c r="G49" t="s">
        <v>802</v>
      </c>
    </row>
    <row r="50" spans="1:7" x14ac:dyDescent="0.25">
      <c r="A50" t="s">
        <v>800</v>
      </c>
      <c r="B50" s="3" t="s">
        <v>577</v>
      </c>
      <c r="C50" t="s">
        <v>1415</v>
      </c>
      <c r="D50" t="s">
        <v>792</v>
      </c>
      <c r="E50" t="s">
        <v>801</v>
      </c>
      <c r="F50" t="s">
        <v>1486</v>
      </c>
      <c r="G50" t="s">
        <v>802</v>
      </c>
    </row>
    <row r="51" spans="1:7" x14ac:dyDescent="0.25">
      <c r="A51" t="s">
        <v>800</v>
      </c>
      <c r="B51" s="3" t="s">
        <v>578</v>
      </c>
      <c r="C51" t="s">
        <v>1416</v>
      </c>
      <c r="D51" t="s">
        <v>792</v>
      </c>
      <c r="E51" t="s">
        <v>801</v>
      </c>
      <c r="F51" t="s">
        <v>1487</v>
      </c>
      <c r="G51" t="s">
        <v>802</v>
      </c>
    </row>
    <row r="52" spans="1:7" x14ac:dyDescent="0.25">
      <c r="A52" t="s">
        <v>800</v>
      </c>
      <c r="B52" s="3" t="s">
        <v>579</v>
      </c>
      <c r="C52" t="s">
        <v>1417</v>
      </c>
      <c r="D52" t="s">
        <v>792</v>
      </c>
      <c r="E52" t="s">
        <v>801</v>
      </c>
      <c r="F52" t="s">
        <v>1488</v>
      </c>
      <c r="G52" t="s">
        <v>802</v>
      </c>
    </row>
    <row r="53" spans="1:7" x14ac:dyDescent="0.25">
      <c r="A53" t="s">
        <v>800</v>
      </c>
      <c r="B53" s="3" t="s">
        <v>580</v>
      </c>
      <c r="C53" t="s">
        <v>1418</v>
      </c>
      <c r="D53" t="s">
        <v>792</v>
      </c>
      <c r="E53" t="s">
        <v>801</v>
      </c>
      <c r="F53" t="s">
        <v>1489</v>
      </c>
      <c r="G53" t="s">
        <v>802</v>
      </c>
    </row>
    <row r="54" spans="1:7" x14ac:dyDescent="0.25">
      <c r="A54" t="s">
        <v>800</v>
      </c>
      <c r="B54" s="3" t="s">
        <v>581</v>
      </c>
      <c r="C54" t="s">
        <v>1419</v>
      </c>
      <c r="D54" t="s">
        <v>792</v>
      </c>
      <c r="E54" t="s">
        <v>801</v>
      </c>
      <c r="F54" t="s">
        <v>1490</v>
      </c>
      <c r="G54" t="s">
        <v>802</v>
      </c>
    </row>
    <row r="55" spans="1:7" x14ac:dyDescent="0.25">
      <c r="A55" t="s">
        <v>800</v>
      </c>
      <c r="B55" s="3" t="s">
        <v>582</v>
      </c>
      <c r="C55" t="s">
        <v>1420</v>
      </c>
      <c r="D55" t="s">
        <v>792</v>
      </c>
      <c r="E55" t="s">
        <v>801</v>
      </c>
      <c r="F55" t="s">
        <v>1491</v>
      </c>
      <c r="G55" t="s">
        <v>802</v>
      </c>
    </row>
    <row r="56" spans="1:7" x14ac:dyDescent="0.25">
      <c r="A56" t="s">
        <v>800</v>
      </c>
      <c r="B56" s="3" t="s">
        <v>583</v>
      </c>
      <c r="C56" t="s">
        <v>1421</v>
      </c>
      <c r="D56" t="s">
        <v>792</v>
      </c>
      <c r="E56" t="s">
        <v>801</v>
      </c>
      <c r="F56" t="s">
        <v>1492</v>
      </c>
      <c r="G56" t="s">
        <v>802</v>
      </c>
    </row>
    <row r="57" spans="1:7" x14ac:dyDescent="0.25">
      <c r="A57" t="s">
        <v>800</v>
      </c>
      <c r="B57" s="3" t="s">
        <v>584</v>
      </c>
      <c r="C57" t="s">
        <v>1422</v>
      </c>
      <c r="D57" t="s">
        <v>792</v>
      </c>
      <c r="E57" t="s">
        <v>801</v>
      </c>
      <c r="F57" t="s">
        <v>1493</v>
      </c>
      <c r="G57" t="s">
        <v>802</v>
      </c>
    </row>
    <row r="58" spans="1:7" x14ac:dyDescent="0.25">
      <c r="A58" t="s">
        <v>800</v>
      </c>
      <c r="B58" s="3" t="s">
        <v>585</v>
      </c>
      <c r="C58" t="s">
        <v>1423</v>
      </c>
      <c r="D58" t="s">
        <v>792</v>
      </c>
      <c r="E58" t="s">
        <v>801</v>
      </c>
      <c r="F58" t="s">
        <v>1494</v>
      </c>
      <c r="G58" t="s">
        <v>802</v>
      </c>
    </row>
    <row r="59" spans="1:7" x14ac:dyDescent="0.25">
      <c r="A59" t="s">
        <v>800</v>
      </c>
      <c r="B59" s="3" t="s">
        <v>586</v>
      </c>
      <c r="C59" t="s">
        <v>1424</v>
      </c>
      <c r="D59" t="s">
        <v>792</v>
      </c>
      <c r="E59" t="s">
        <v>801</v>
      </c>
      <c r="F59" t="s">
        <v>1495</v>
      </c>
      <c r="G59" t="s">
        <v>802</v>
      </c>
    </row>
    <row r="60" spans="1:7" x14ac:dyDescent="0.25">
      <c r="A60" t="s">
        <v>800</v>
      </c>
      <c r="B60" s="3" t="s">
        <v>587</v>
      </c>
      <c r="C60" t="s">
        <v>1425</v>
      </c>
      <c r="D60" t="s">
        <v>792</v>
      </c>
      <c r="E60" t="s">
        <v>801</v>
      </c>
      <c r="F60" t="s">
        <v>1496</v>
      </c>
      <c r="G60" t="s">
        <v>802</v>
      </c>
    </row>
    <row r="61" spans="1:7" x14ac:dyDescent="0.25">
      <c r="A61" t="s">
        <v>800</v>
      </c>
      <c r="B61" s="3" t="s">
        <v>588</v>
      </c>
      <c r="C61" t="s">
        <v>1426</v>
      </c>
      <c r="D61" t="s">
        <v>792</v>
      </c>
      <c r="E61" t="s">
        <v>801</v>
      </c>
      <c r="F61" t="s">
        <v>1497</v>
      </c>
      <c r="G61" t="s">
        <v>802</v>
      </c>
    </row>
    <row r="62" spans="1:7" x14ac:dyDescent="0.25">
      <c r="A62" t="s">
        <v>800</v>
      </c>
      <c r="B62" s="3" t="s">
        <v>589</v>
      </c>
      <c r="C62" t="s">
        <v>1427</v>
      </c>
      <c r="D62" t="s">
        <v>792</v>
      </c>
      <c r="E62" t="s">
        <v>801</v>
      </c>
      <c r="F62" t="s">
        <v>1498</v>
      </c>
      <c r="G62" t="s">
        <v>802</v>
      </c>
    </row>
    <row r="63" spans="1:7" x14ac:dyDescent="0.25">
      <c r="A63" t="s">
        <v>800</v>
      </c>
      <c r="B63" s="3" t="s">
        <v>590</v>
      </c>
      <c r="C63" t="s">
        <v>1428</v>
      </c>
      <c r="D63" t="s">
        <v>792</v>
      </c>
      <c r="E63" t="s">
        <v>801</v>
      </c>
      <c r="F63" t="s">
        <v>1499</v>
      </c>
      <c r="G63" t="s">
        <v>802</v>
      </c>
    </row>
    <row r="64" spans="1:7" x14ac:dyDescent="0.25">
      <c r="A64" t="s">
        <v>800</v>
      </c>
      <c r="B64" s="3" t="s">
        <v>591</v>
      </c>
      <c r="C64" t="s">
        <v>1429</v>
      </c>
      <c r="D64" t="s">
        <v>792</v>
      </c>
      <c r="E64" t="s">
        <v>801</v>
      </c>
      <c r="F64" t="s">
        <v>1500</v>
      </c>
      <c r="G64" t="s">
        <v>802</v>
      </c>
    </row>
    <row r="65" spans="1:12" x14ac:dyDescent="0.25">
      <c r="A65" t="s">
        <v>800</v>
      </c>
      <c r="B65" s="3" t="s">
        <v>592</v>
      </c>
      <c r="C65" t="s">
        <v>1430</v>
      </c>
      <c r="D65" t="s">
        <v>792</v>
      </c>
      <c r="E65" t="s">
        <v>801</v>
      </c>
      <c r="F65" t="s">
        <v>1501</v>
      </c>
      <c r="G65" t="s">
        <v>802</v>
      </c>
    </row>
    <row r="66" spans="1:12" x14ac:dyDescent="0.25">
      <c r="A66" t="s">
        <v>800</v>
      </c>
      <c r="B66" s="3" t="s">
        <v>593</v>
      </c>
      <c r="C66" t="s">
        <v>1431</v>
      </c>
      <c r="D66" t="s">
        <v>792</v>
      </c>
      <c r="E66" t="s">
        <v>801</v>
      </c>
      <c r="F66" t="s">
        <v>1502</v>
      </c>
      <c r="G66" t="s">
        <v>802</v>
      </c>
    </row>
    <row r="67" spans="1:12" x14ac:dyDescent="0.25">
      <c r="A67" t="s">
        <v>800</v>
      </c>
      <c r="B67" s="3" t="s">
        <v>594</v>
      </c>
      <c r="C67" t="s">
        <v>1432</v>
      </c>
      <c r="D67" t="s">
        <v>792</v>
      </c>
      <c r="E67" t="s">
        <v>801</v>
      </c>
      <c r="F67" t="s">
        <v>1503</v>
      </c>
      <c r="G67" t="s">
        <v>802</v>
      </c>
    </row>
    <row r="68" spans="1:12" x14ac:dyDescent="0.25">
      <c r="A68" t="s">
        <v>800</v>
      </c>
      <c r="B68" s="3" t="s">
        <v>595</v>
      </c>
      <c r="C68" t="s">
        <v>1433</v>
      </c>
      <c r="D68" t="s">
        <v>792</v>
      </c>
      <c r="E68" t="s">
        <v>801</v>
      </c>
      <c r="F68" t="s">
        <v>1504</v>
      </c>
      <c r="G68" t="s">
        <v>802</v>
      </c>
    </row>
    <row r="69" spans="1:12" x14ac:dyDescent="0.25">
      <c r="A69" t="s">
        <v>800</v>
      </c>
      <c r="B69" s="3" t="s">
        <v>596</v>
      </c>
      <c r="C69" t="s">
        <v>1434</v>
      </c>
      <c r="D69" t="s">
        <v>792</v>
      </c>
      <c r="E69" t="s">
        <v>801</v>
      </c>
      <c r="F69" t="s">
        <v>1505</v>
      </c>
      <c r="G69" t="s">
        <v>802</v>
      </c>
    </row>
    <row r="70" spans="1:12" x14ac:dyDescent="0.25">
      <c r="A70" t="s">
        <v>800</v>
      </c>
      <c r="B70" s="3" t="s">
        <v>597</v>
      </c>
      <c r="C70" t="s">
        <v>1435</v>
      </c>
      <c r="D70" t="s">
        <v>792</v>
      </c>
      <c r="E70" t="s">
        <v>801</v>
      </c>
      <c r="F70" t="s">
        <v>1506</v>
      </c>
      <c r="G70" t="s">
        <v>802</v>
      </c>
    </row>
    <row r="71" spans="1:12" x14ac:dyDescent="0.25">
      <c r="A71" t="s">
        <v>800</v>
      </c>
      <c r="B71" s="3" t="s">
        <v>598</v>
      </c>
      <c r="C71" t="s">
        <v>1436</v>
      </c>
      <c r="D71" t="s">
        <v>792</v>
      </c>
      <c r="E71" t="s">
        <v>801</v>
      </c>
      <c r="F71" t="s">
        <v>1507</v>
      </c>
      <c r="G71" t="s">
        <v>802</v>
      </c>
    </row>
    <row r="72" spans="1:12" x14ac:dyDescent="0.25">
      <c r="A72" t="s">
        <v>800</v>
      </c>
      <c r="B72" s="3" t="s">
        <v>599</v>
      </c>
      <c r="C72" t="s">
        <v>1437</v>
      </c>
      <c r="D72" t="s">
        <v>792</v>
      </c>
      <c r="E72" t="s">
        <v>801</v>
      </c>
      <c r="F72" t="s">
        <v>1508</v>
      </c>
      <c r="G72" t="s">
        <v>802</v>
      </c>
    </row>
    <row r="73" spans="1:12" x14ac:dyDescent="0.25">
      <c r="A73" t="s">
        <v>799</v>
      </c>
      <c r="B73" t="s">
        <v>602</v>
      </c>
      <c r="C73" t="s">
        <v>1510</v>
      </c>
      <c r="D73" t="s">
        <v>786</v>
      </c>
      <c r="E73" t="s">
        <v>600</v>
      </c>
      <c r="F73" t="s">
        <v>1509</v>
      </c>
      <c r="I73" t="s">
        <v>1161</v>
      </c>
      <c r="K73" t="s">
        <v>1160</v>
      </c>
      <c r="L73" t="s">
        <v>1203</v>
      </c>
    </row>
    <row r="74" spans="1:12" x14ac:dyDescent="0.25">
      <c r="A74" t="s">
        <v>799</v>
      </c>
      <c r="B74" t="s">
        <v>693</v>
      </c>
      <c r="C74" t="s">
        <v>1511</v>
      </c>
      <c r="D74" t="s">
        <v>786</v>
      </c>
      <c r="E74" t="s">
        <v>600</v>
      </c>
    </row>
    <row r="75" spans="1:12" x14ac:dyDescent="0.25">
      <c r="A75" t="s">
        <v>799</v>
      </c>
      <c r="B75" t="s">
        <v>724</v>
      </c>
      <c r="C75" t="s">
        <v>1512</v>
      </c>
      <c r="D75" t="s">
        <v>786</v>
      </c>
      <c r="E75" t="s">
        <v>600</v>
      </c>
    </row>
    <row r="76" spans="1:12" x14ac:dyDescent="0.25">
      <c r="A76" t="s">
        <v>799</v>
      </c>
      <c r="B76" t="s">
        <v>735</v>
      </c>
      <c r="C76" t="s">
        <v>1513</v>
      </c>
      <c r="D76" t="s">
        <v>786</v>
      </c>
      <c r="E76" t="s">
        <v>600</v>
      </c>
    </row>
    <row r="77" spans="1:12" x14ac:dyDescent="0.25">
      <c r="A77" t="s">
        <v>799</v>
      </c>
      <c r="B77" t="s">
        <v>745</v>
      </c>
      <c r="C77" t="s">
        <v>1514</v>
      </c>
      <c r="D77" t="s">
        <v>786</v>
      </c>
      <c r="E77" t="s">
        <v>600</v>
      </c>
    </row>
    <row r="78" spans="1:12" x14ac:dyDescent="0.25">
      <c r="A78" t="s">
        <v>799</v>
      </c>
      <c r="B78" t="s">
        <v>755</v>
      </c>
      <c r="C78" t="s">
        <v>1515</v>
      </c>
      <c r="D78" t="s">
        <v>786</v>
      </c>
      <c r="E78" t="s">
        <v>600</v>
      </c>
    </row>
    <row r="79" spans="1:12" x14ac:dyDescent="0.25">
      <c r="A79" t="s">
        <v>799</v>
      </c>
      <c r="B79" t="s">
        <v>763</v>
      </c>
      <c r="C79" t="s">
        <v>1516</v>
      </c>
      <c r="D79" t="s">
        <v>786</v>
      </c>
      <c r="E79" t="s">
        <v>600</v>
      </c>
    </row>
    <row r="80" spans="1:12" x14ac:dyDescent="0.25">
      <c r="A80" t="s">
        <v>799</v>
      </c>
      <c r="B80" t="s">
        <v>767</v>
      </c>
      <c r="C80" t="s">
        <v>1517</v>
      </c>
      <c r="D80" t="s">
        <v>786</v>
      </c>
      <c r="E80" t="s">
        <v>600</v>
      </c>
    </row>
    <row r="81" spans="1:5" x14ac:dyDescent="0.25">
      <c r="A81" t="s">
        <v>799</v>
      </c>
      <c r="B81" t="s">
        <v>777</v>
      </c>
      <c r="C81" t="s">
        <v>1518</v>
      </c>
      <c r="D81" t="s">
        <v>786</v>
      </c>
      <c r="E81" t="s">
        <v>600</v>
      </c>
    </row>
    <row r="82" spans="1:5" x14ac:dyDescent="0.25">
      <c r="A82" t="s">
        <v>799</v>
      </c>
      <c r="B82" t="s">
        <v>603</v>
      </c>
      <c r="C82" t="s">
        <v>1519</v>
      </c>
      <c r="D82" t="s">
        <v>786</v>
      </c>
      <c r="E82" t="s">
        <v>600</v>
      </c>
    </row>
    <row r="83" spans="1:5" x14ac:dyDescent="0.25">
      <c r="A83" t="s">
        <v>799</v>
      </c>
      <c r="B83" t="s">
        <v>614</v>
      </c>
      <c r="C83" t="s">
        <v>1520</v>
      </c>
      <c r="D83" t="s">
        <v>786</v>
      </c>
      <c r="E83" t="s">
        <v>600</v>
      </c>
    </row>
    <row r="84" spans="1:5" x14ac:dyDescent="0.25">
      <c r="A84" t="s">
        <v>799</v>
      </c>
      <c r="B84" t="s">
        <v>625</v>
      </c>
      <c r="C84" t="s">
        <v>1521</v>
      </c>
      <c r="D84" t="s">
        <v>786</v>
      </c>
      <c r="E84" t="s">
        <v>600</v>
      </c>
    </row>
    <row r="85" spans="1:5" x14ac:dyDescent="0.25">
      <c r="A85" t="s">
        <v>799</v>
      </c>
      <c r="B85" t="s">
        <v>635</v>
      </c>
      <c r="C85" t="s">
        <v>1522</v>
      </c>
      <c r="D85" t="s">
        <v>786</v>
      </c>
      <c r="E85" t="s">
        <v>600</v>
      </c>
    </row>
    <row r="86" spans="1:5" x14ac:dyDescent="0.25">
      <c r="A86" t="s">
        <v>799</v>
      </c>
      <c r="B86" t="s">
        <v>645</v>
      </c>
      <c r="C86" t="s">
        <v>1523</v>
      </c>
      <c r="D86" t="s">
        <v>786</v>
      </c>
      <c r="E86" t="s">
        <v>600</v>
      </c>
    </row>
    <row r="87" spans="1:5" x14ac:dyDescent="0.25">
      <c r="A87" t="s">
        <v>799</v>
      </c>
      <c r="B87" t="s">
        <v>655</v>
      </c>
      <c r="C87" t="s">
        <v>1524</v>
      </c>
      <c r="D87" t="s">
        <v>786</v>
      </c>
      <c r="E87" t="s">
        <v>600</v>
      </c>
    </row>
    <row r="88" spans="1:5" x14ac:dyDescent="0.25">
      <c r="A88" t="s">
        <v>799</v>
      </c>
      <c r="B88" t="s">
        <v>663</v>
      </c>
      <c r="C88" t="s">
        <v>1525</v>
      </c>
      <c r="D88" t="s">
        <v>786</v>
      </c>
      <c r="E88" t="s">
        <v>600</v>
      </c>
    </row>
    <row r="89" spans="1:5" x14ac:dyDescent="0.25">
      <c r="A89" t="s">
        <v>799</v>
      </c>
      <c r="B89" t="s">
        <v>670</v>
      </c>
      <c r="C89" t="s">
        <v>1526</v>
      </c>
      <c r="D89" t="s">
        <v>786</v>
      </c>
      <c r="E89" t="s">
        <v>600</v>
      </c>
    </row>
    <row r="90" spans="1:5" x14ac:dyDescent="0.25">
      <c r="A90" t="s">
        <v>799</v>
      </c>
      <c r="B90" t="s">
        <v>676</v>
      </c>
      <c r="C90" t="s">
        <v>1527</v>
      </c>
      <c r="D90" t="s">
        <v>786</v>
      </c>
      <c r="E90" t="s">
        <v>600</v>
      </c>
    </row>
    <row r="91" spans="1:5" x14ac:dyDescent="0.25">
      <c r="A91" t="s">
        <v>799</v>
      </c>
      <c r="B91" t="s">
        <v>685</v>
      </c>
      <c r="C91" t="s">
        <v>1528</v>
      </c>
      <c r="D91" t="s">
        <v>786</v>
      </c>
      <c r="E91" t="s">
        <v>600</v>
      </c>
    </row>
    <row r="92" spans="1:5" x14ac:dyDescent="0.25">
      <c r="A92" t="s">
        <v>799</v>
      </c>
      <c r="B92" t="s">
        <v>694</v>
      </c>
      <c r="C92" t="s">
        <v>1529</v>
      </c>
      <c r="D92" t="s">
        <v>786</v>
      </c>
      <c r="E92" t="s">
        <v>600</v>
      </c>
    </row>
    <row r="93" spans="1:5" x14ac:dyDescent="0.25">
      <c r="A93" t="s">
        <v>799</v>
      </c>
      <c r="B93" t="s">
        <v>701</v>
      </c>
      <c r="C93" t="s">
        <v>1530</v>
      </c>
      <c r="D93" t="s">
        <v>786</v>
      </c>
      <c r="E93" t="s">
        <v>600</v>
      </c>
    </row>
    <row r="94" spans="1:5" x14ac:dyDescent="0.25">
      <c r="A94" t="s">
        <v>799</v>
      </c>
      <c r="B94" t="s">
        <v>706</v>
      </c>
      <c r="C94" t="s">
        <v>1531</v>
      </c>
      <c r="D94" t="s">
        <v>786</v>
      </c>
      <c r="E94" t="s">
        <v>600</v>
      </c>
    </row>
    <row r="95" spans="1:5" x14ac:dyDescent="0.25">
      <c r="A95" t="s">
        <v>799</v>
      </c>
      <c r="B95" t="s">
        <v>713</v>
      </c>
      <c r="C95" t="s">
        <v>1532</v>
      </c>
      <c r="D95" t="s">
        <v>786</v>
      </c>
      <c r="E95" t="s">
        <v>600</v>
      </c>
    </row>
    <row r="96" spans="1:5" x14ac:dyDescent="0.25">
      <c r="A96" t="s">
        <v>799</v>
      </c>
      <c r="B96" t="s">
        <v>717</v>
      </c>
      <c r="C96" t="s">
        <v>1533</v>
      </c>
      <c r="D96" t="s">
        <v>786</v>
      </c>
      <c r="E96" t="s">
        <v>600</v>
      </c>
    </row>
    <row r="97" spans="1:5" x14ac:dyDescent="0.25">
      <c r="A97" t="s">
        <v>799</v>
      </c>
      <c r="B97" t="s">
        <v>720</v>
      </c>
      <c r="C97" t="s">
        <v>1534</v>
      </c>
      <c r="D97" t="s">
        <v>786</v>
      </c>
      <c r="E97" t="s">
        <v>600</v>
      </c>
    </row>
    <row r="98" spans="1:5" x14ac:dyDescent="0.25">
      <c r="A98" t="s">
        <v>799</v>
      </c>
      <c r="B98" t="s">
        <v>721</v>
      </c>
      <c r="C98" t="s">
        <v>1535</v>
      </c>
      <c r="D98" t="s">
        <v>786</v>
      </c>
      <c r="E98" t="s">
        <v>600</v>
      </c>
    </row>
    <row r="99" spans="1:5" x14ac:dyDescent="0.25">
      <c r="A99" t="s">
        <v>799</v>
      </c>
      <c r="B99" t="s">
        <v>722</v>
      </c>
      <c r="C99" t="s">
        <v>1536</v>
      </c>
      <c r="D99" t="s">
        <v>786</v>
      </c>
      <c r="E99" t="s">
        <v>600</v>
      </c>
    </row>
    <row r="100" spans="1:5" x14ac:dyDescent="0.25">
      <c r="A100" t="s">
        <v>799</v>
      </c>
      <c r="B100" t="s">
        <v>723</v>
      </c>
      <c r="C100" t="s">
        <v>1537</v>
      </c>
      <c r="D100" t="s">
        <v>786</v>
      </c>
      <c r="E100" t="s">
        <v>600</v>
      </c>
    </row>
    <row r="101" spans="1:5" x14ac:dyDescent="0.25">
      <c r="A101" t="s">
        <v>799</v>
      </c>
      <c r="B101" t="s">
        <v>725</v>
      </c>
      <c r="C101" t="s">
        <v>1538</v>
      </c>
      <c r="D101" t="s">
        <v>786</v>
      </c>
      <c r="E101" t="s">
        <v>600</v>
      </c>
    </row>
    <row r="102" spans="1:5" x14ac:dyDescent="0.25">
      <c r="A102" t="s">
        <v>799</v>
      </c>
      <c r="B102" t="s">
        <v>726</v>
      </c>
      <c r="C102" t="s">
        <v>1539</v>
      </c>
      <c r="D102" t="s">
        <v>786</v>
      </c>
      <c r="E102" t="s">
        <v>600</v>
      </c>
    </row>
    <row r="103" spans="1:5" x14ac:dyDescent="0.25">
      <c r="A103" t="s">
        <v>799</v>
      </c>
      <c r="B103" t="s">
        <v>727</v>
      </c>
      <c r="C103" t="s">
        <v>1540</v>
      </c>
      <c r="D103" t="s">
        <v>786</v>
      </c>
      <c r="E103" t="s">
        <v>600</v>
      </c>
    </row>
    <row r="104" spans="1:5" x14ac:dyDescent="0.25">
      <c r="A104" t="s">
        <v>799</v>
      </c>
      <c r="B104" t="s">
        <v>728</v>
      </c>
      <c r="C104" t="s">
        <v>1541</v>
      </c>
      <c r="D104" t="s">
        <v>786</v>
      </c>
      <c r="E104" t="s">
        <v>600</v>
      </c>
    </row>
    <row r="105" spans="1:5" x14ac:dyDescent="0.25">
      <c r="A105" t="s">
        <v>799</v>
      </c>
      <c r="B105" t="s">
        <v>729</v>
      </c>
      <c r="C105" t="s">
        <v>1542</v>
      </c>
      <c r="D105" t="s">
        <v>786</v>
      </c>
      <c r="E105" t="s">
        <v>600</v>
      </c>
    </row>
    <row r="106" spans="1:5" x14ac:dyDescent="0.25">
      <c r="A106" t="s">
        <v>799</v>
      </c>
      <c r="B106" t="s">
        <v>730</v>
      </c>
      <c r="C106" t="s">
        <v>1543</v>
      </c>
      <c r="D106" t="s">
        <v>786</v>
      </c>
      <c r="E106" t="s">
        <v>600</v>
      </c>
    </row>
    <row r="107" spans="1:5" x14ac:dyDescent="0.25">
      <c r="A107" t="s">
        <v>799</v>
      </c>
      <c r="B107" t="s">
        <v>731</v>
      </c>
      <c r="C107" t="s">
        <v>1544</v>
      </c>
      <c r="D107" t="s">
        <v>786</v>
      </c>
      <c r="E107" t="s">
        <v>600</v>
      </c>
    </row>
    <row r="108" spans="1:5" x14ac:dyDescent="0.25">
      <c r="A108" t="s">
        <v>799</v>
      </c>
      <c r="B108" t="s">
        <v>732</v>
      </c>
      <c r="C108" t="s">
        <v>1545</v>
      </c>
      <c r="D108" t="s">
        <v>786</v>
      </c>
      <c r="E108" t="s">
        <v>600</v>
      </c>
    </row>
    <row r="109" spans="1:5" x14ac:dyDescent="0.25">
      <c r="A109" t="s">
        <v>799</v>
      </c>
      <c r="B109" t="s">
        <v>733</v>
      </c>
      <c r="C109" t="s">
        <v>1546</v>
      </c>
      <c r="D109" t="s">
        <v>786</v>
      </c>
      <c r="E109" t="s">
        <v>600</v>
      </c>
    </row>
    <row r="110" spans="1:5" x14ac:dyDescent="0.25">
      <c r="A110" t="s">
        <v>799</v>
      </c>
      <c r="B110" t="s">
        <v>734</v>
      </c>
      <c r="C110" t="s">
        <v>1547</v>
      </c>
      <c r="D110" t="s">
        <v>786</v>
      </c>
      <c r="E110" t="s">
        <v>600</v>
      </c>
    </row>
    <row r="111" spans="1:5" x14ac:dyDescent="0.25">
      <c r="A111" t="s">
        <v>799</v>
      </c>
      <c r="B111" t="s">
        <v>736</v>
      </c>
      <c r="C111" t="s">
        <v>1548</v>
      </c>
      <c r="D111" t="s">
        <v>786</v>
      </c>
      <c r="E111" t="s">
        <v>600</v>
      </c>
    </row>
    <row r="112" spans="1:5" x14ac:dyDescent="0.25">
      <c r="A112" t="s">
        <v>799</v>
      </c>
      <c r="B112" t="s">
        <v>737</v>
      </c>
      <c r="C112" t="s">
        <v>1549</v>
      </c>
      <c r="D112" t="s">
        <v>786</v>
      </c>
      <c r="E112" t="s">
        <v>600</v>
      </c>
    </row>
    <row r="113" spans="1:5" x14ac:dyDescent="0.25">
      <c r="A113" t="s">
        <v>799</v>
      </c>
      <c r="B113" t="s">
        <v>738</v>
      </c>
      <c r="C113" t="s">
        <v>1550</v>
      </c>
      <c r="D113" t="s">
        <v>786</v>
      </c>
      <c r="E113" t="s">
        <v>600</v>
      </c>
    </row>
    <row r="114" spans="1:5" x14ac:dyDescent="0.25">
      <c r="A114" t="s">
        <v>799</v>
      </c>
      <c r="B114" t="s">
        <v>739</v>
      </c>
      <c r="C114" t="s">
        <v>1551</v>
      </c>
      <c r="D114" t="s">
        <v>786</v>
      </c>
      <c r="E114" t="s">
        <v>600</v>
      </c>
    </row>
    <row r="115" spans="1:5" x14ac:dyDescent="0.25">
      <c r="A115" t="s">
        <v>799</v>
      </c>
      <c r="B115" t="s">
        <v>740</v>
      </c>
      <c r="C115" t="s">
        <v>1552</v>
      </c>
      <c r="D115" t="s">
        <v>786</v>
      </c>
      <c r="E115" t="s">
        <v>600</v>
      </c>
    </row>
    <row r="116" spans="1:5" x14ac:dyDescent="0.25">
      <c r="A116" t="s">
        <v>799</v>
      </c>
      <c r="B116" t="s">
        <v>741</v>
      </c>
      <c r="C116" t="s">
        <v>1553</v>
      </c>
      <c r="D116" t="s">
        <v>786</v>
      </c>
      <c r="E116" t="s">
        <v>600</v>
      </c>
    </row>
    <row r="117" spans="1:5" x14ac:dyDescent="0.25">
      <c r="A117" t="s">
        <v>799</v>
      </c>
      <c r="B117" t="s">
        <v>742</v>
      </c>
      <c r="C117" t="s">
        <v>1554</v>
      </c>
      <c r="D117" t="s">
        <v>786</v>
      </c>
      <c r="E117" t="s">
        <v>600</v>
      </c>
    </row>
    <row r="118" spans="1:5" x14ac:dyDescent="0.25">
      <c r="A118" t="s">
        <v>799</v>
      </c>
      <c r="B118" t="s">
        <v>743</v>
      </c>
      <c r="C118" t="s">
        <v>1555</v>
      </c>
      <c r="D118" t="s">
        <v>786</v>
      </c>
      <c r="E118" t="s">
        <v>600</v>
      </c>
    </row>
    <row r="119" spans="1:5" x14ac:dyDescent="0.25">
      <c r="A119" t="s">
        <v>799</v>
      </c>
      <c r="B119" t="s">
        <v>744</v>
      </c>
      <c r="C119" t="s">
        <v>1556</v>
      </c>
      <c r="D119" t="s">
        <v>786</v>
      </c>
      <c r="E119" t="s">
        <v>600</v>
      </c>
    </row>
    <row r="120" spans="1:5" x14ac:dyDescent="0.25">
      <c r="A120" t="s">
        <v>799</v>
      </c>
      <c r="B120" t="s">
        <v>746</v>
      </c>
      <c r="C120" t="s">
        <v>1557</v>
      </c>
      <c r="D120" t="s">
        <v>786</v>
      </c>
      <c r="E120" t="s">
        <v>600</v>
      </c>
    </row>
    <row r="121" spans="1:5" x14ac:dyDescent="0.25">
      <c r="A121" t="s">
        <v>799</v>
      </c>
      <c r="B121" t="s">
        <v>747</v>
      </c>
      <c r="C121" t="s">
        <v>1558</v>
      </c>
      <c r="D121" t="s">
        <v>786</v>
      </c>
      <c r="E121" t="s">
        <v>600</v>
      </c>
    </row>
    <row r="122" spans="1:5" x14ac:dyDescent="0.25">
      <c r="A122" t="s">
        <v>799</v>
      </c>
      <c r="B122" t="s">
        <v>748</v>
      </c>
      <c r="C122" t="s">
        <v>1559</v>
      </c>
      <c r="D122" t="s">
        <v>786</v>
      </c>
      <c r="E122" t="s">
        <v>600</v>
      </c>
    </row>
    <row r="123" spans="1:5" x14ac:dyDescent="0.25">
      <c r="A123" t="s">
        <v>799</v>
      </c>
      <c r="B123" t="s">
        <v>749</v>
      </c>
      <c r="C123" t="s">
        <v>1560</v>
      </c>
      <c r="D123" t="s">
        <v>786</v>
      </c>
      <c r="E123" t="s">
        <v>600</v>
      </c>
    </row>
    <row r="124" spans="1:5" x14ac:dyDescent="0.25">
      <c r="A124" t="s">
        <v>799</v>
      </c>
      <c r="B124" t="s">
        <v>750</v>
      </c>
      <c r="C124" t="s">
        <v>1561</v>
      </c>
      <c r="D124" t="s">
        <v>786</v>
      </c>
      <c r="E124" t="s">
        <v>600</v>
      </c>
    </row>
    <row r="125" spans="1:5" x14ac:dyDescent="0.25">
      <c r="A125" t="s">
        <v>799</v>
      </c>
      <c r="B125" t="s">
        <v>751</v>
      </c>
      <c r="C125" t="s">
        <v>1562</v>
      </c>
      <c r="D125" t="s">
        <v>786</v>
      </c>
      <c r="E125" t="s">
        <v>600</v>
      </c>
    </row>
    <row r="126" spans="1:5" x14ac:dyDescent="0.25">
      <c r="A126" t="s">
        <v>799</v>
      </c>
      <c r="B126" t="s">
        <v>752</v>
      </c>
      <c r="C126" t="s">
        <v>1563</v>
      </c>
      <c r="D126" t="s">
        <v>786</v>
      </c>
      <c r="E126" t="s">
        <v>600</v>
      </c>
    </row>
    <row r="127" spans="1:5" x14ac:dyDescent="0.25">
      <c r="A127" t="s">
        <v>799</v>
      </c>
      <c r="B127" t="s">
        <v>753</v>
      </c>
      <c r="C127" t="s">
        <v>1564</v>
      </c>
      <c r="D127" t="s">
        <v>786</v>
      </c>
      <c r="E127" t="s">
        <v>600</v>
      </c>
    </row>
    <row r="128" spans="1:5" x14ac:dyDescent="0.25">
      <c r="A128" t="s">
        <v>799</v>
      </c>
      <c r="B128" t="s">
        <v>754</v>
      </c>
      <c r="C128" t="s">
        <v>1565</v>
      </c>
      <c r="D128" t="s">
        <v>786</v>
      </c>
      <c r="E128" t="s">
        <v>600</v>
      </c>
    </row>
    <row r="129" spans="1:5" x14ac:dyDescent="0.25">
      <c r="A129" t="s">
        <v>799</v>
      </c>
      <c r="B129" t="s">
        <v>756</v>
      </c>
      <c r="C129" t="s">
        <v>1566</v>
      </c>
      <c r="D129" t="s">
        <v>786</v>
      </c>
      <c r="E129" t="s">
        <v>600</v>
      </c>
    </row>
    <row r="130" spans="1:5" x14ac:dyDescent="0.25">
      <c r="A130" t="s">
        <v>799</v>
      </c>
      <c r="B130" t="s">
        <v>757</v>
      </c>
      <c r="C130" t="s">
        <v>1567</v>
      </c>
      <c r="D130" t="s">
        <v>786</v>
      </c>
      <c r="E130" t="s">
        <v>600</v>
      </c>
    </row>
    <row r="131" spans="1:5" x14ac:dyDescent="0.25">
      <c r="A131" t="s">
        <v>799</v>
      </c>
      <c r="B131" t="s">
        <v>758</v>
      </c>
      <c r="C131" t="s">
        <v>1568</v>
      </c>
      <c r="D131" t="s">
        <v>786</v>
      </c>
      <c r="E131" t="s">
        <v>600</v>
      </c>
    </row>
    <row r="132" spans="1:5" x14ac:dyDescent="0.25">
      <c r="A132" t="s">
        <v>799</v>
      </c>
      <c r="B132" t="s">
        <v>759</v>
      </c>
      <c r="C132" t="s">
        <v>1569</v>
      </c>
      <c r="D132" t="s">
        <v>786</v>
      </c>
      <c r="E132" t="s">
        <v>600</v>
      </c>
    </row>
    <row r="133" spans="1:5" x14ac:dyDescent="0.25">
      <c r="A133" t="s">
        <v>799</v>
      </c>
      <c r="B133" t="s">
        <v>760</v>
      </c>
      <c r="C133" t="s">
        <v>1570</v>
      </c>
      <c r="D133" t="s">
        <v>786</v>
      </c>
      <c r="E133" t="s">
        <v>600</v>
      </c>
    </row>
    <row r="134" spans="1:5" x14ac:dyDescent="0.25">
      <c r="A134" t="s">
        <v>799</v>
      </c>
      <c r="B134" t="s">
        <v>761</v>
      </c>
      <c r="C134" t="s">
        <v>1571</v>
      </c>
      <c r="D134" t="s">
        <v>786</v>
      </c>
      <c r="E134" t="s">
        <v>600</v>
      </c>
    </row>
    <row r="135" spans="1:5" x14ac:dyDescent="0.25">
      <c r="A135" t="s">
        <v>799</v>
      </c>
      <c r="B135" t="s">
        <v>762</v>
      </c>
      <c r="C135" t="s">
        <v>1572</v>
      </c>
      <c r="D135" t="s">
        <v>786</v>
      </c>
      <c r="E135" t="s">
        <v>600</v>
      </c>
    </row>
    <row r="136" spans="1:5" x14ac:dyDescent="0.25">
      <c r="A136" t="s">
        <v>799</v>
      </c>
      <c r="B136" t="s">
        <v>764</v>
      </c>
      <c r="C136" t="s">
        <v>1573</v>
      </c>
      <c r="D136" t="s">
        <v>786</v>
      </c>
      <c r="E136" t="s">
        <v>600</v>
      </c>
    </row>
    <row r="137" spans="1:5" x14ac:dyDescent="0.25">
      <c r="A137" t="s">
        <v>799</v>
      </c>
      <c r="B137" t="s">
        <v>765</v>
      </c>
      <c r="C137" t="s">
        <v>1574</v>
      </c>
      <c r="D137" t="s">
        <v>786</v>
      </c>
      <c r="E137" t="s">
        <v>600</v>
      </c>
    </row>
    <row r="138" spans="1:5" x14ac:dyDescent="0.25">
      <c r="A138" t="s">
        <v>799</v>
      </c>
      <c r="B138" t="s">
        <v>766</v>
      </c>
      <c r="C138" t="s">
        <v>1575</v>
      </c>
      <c r="D138" t="s">
        <v>786</v>
      </c>
      <c r="E138" t="s">
        <v>600</v>
      </c>
    </row>
    <row r="139" spans="1:5" x14ac:dyDescent="0.25">
      <c r="A139" t="s">
        <v>799</v>
      </c>
      <c r="B139" t="s">
        <v>768</v>
      </c>
      <c r="C139" t="s">
        <v>1576</v>
      </c>
      <c r="D139" t="s">
        <v>786</v>
      </c>
      <c r="E139" t="s">
        <v>600</v>
      </c>
    </row>
    <row r="140" spans="1:5" x14ac:dyDescent="0.25">
      <c r="A140" t="s">
        <v>799</v>
      </c>
      <c r="B140" t="s">
        <v>769</v>
      </c>
      <c r="C140" t="s">
        <v>1577</v>
      </c>
      <c r="D140" t="s">
        <v>786</v>
      </c>
      <c r="E140" t="s">
        <v>600</v>
      </c>
    </row>
    <row r="141" spans="1:5" x14ac:dyDescent="0.25">
      <c r="A141" t="s">
        <v>799</v>
      </c>
      <c r="B141" t="s">
        <v>770</v>
      </c>
      <c r="C141" t="s">
        <v>1578</v>
      </c>
      <c r="D141" t="s">
        <v>786</v>
      </c>
      <c r="E141" t="s">
        <v>600</v>
      </c>
    </row>
    <row r="142" spans="1:5" x14ac:dyDescent="0.25">
      <c r="A142" t="s">
        <v>799</v>
      </c>
      <c r="B142" t="s">
        <v>771</v>
      </c>
      <c r="C142" t="s">
        <v>1579</v>
      </c>
      <c r="D142" t="s">
        <v>786</v>
      </c>
      <c r="E142" t="s">
        <v>600</v>
      </c>
    </row>
    <row r="143" spans="1:5" x14ac:dyDescent="0.25">
      <c r="A143" t="s">
        <v>799</v>
      </c>
      <c r="B143" t="s">
        <v>772</v>
      </c>
      <c r="C143" t="s">
        <v>1580</v>
      </c>
      <c r="D143" t="s">
        <v>786</v>
      </c>
      <c r="E143" t="s">
        <v>600</v>
      </c>
    </row>
    <row r="144" spans="1:5" x14ac:dyDescent="0.25">
      <c r="A144" t="s">
        <v>799</v>
      </c>
      <c r="B144" t="s">
        <v>773</v>
      </c>
      <c r="C144" t="s">
        <v>1581</v>
      </c>
      <c r="D144" t="s">
        <v>786</v>
      </c>
      <c r="E144" t="s">
        <v>600</v>
      </c>
    </row>
    <row r="145" spans="1:5" x14ac:dyDescent="0.25">
      <c r="A145" t="s">
        <v>799</v>
      </c>
      <c r="B145" t="s">
        <v>774</v>
      </c>
      <c r="C145" t="s">
        <v>1582</v>
      </c>
      <c r="D145" t="s">
        <v>786</v>
      </c>
      <c r="E145" t="s">
        <v>600</v>
      </c>
    </row>
    <row r="146" spans="1:5" x14ac:dyDescent="0.25">
      <c r="A146" t="s">
        <v>799</v>
      </c>
      <c r="B146" t="s">
        <v>775</v>
      </c>
      <c r="C146" t="s">
        <v>1583</v>
      </c>
      <c r="D146" t="s">
        <v>786</v>
      </c>
      <c r="E146" t="s">
        <v>600</v>
      </c>
    </row>
    <row r="147" spans="1:5" x14ac:dyDescent="0.25">
      <c r="A147" t="s">
        <v>799</v>
      </c>
      <c r="B147" t="s">
        <v>776</v>
      </c>
      <c r="C147" t="s">
        <v>1584</v>
      </c>
      <c r="D147" t="s">
        <v>786</v>
      </c>
      <c r="E147" t="s">
        <v>600</v>
      </c>
    </row>
    <row r="148" spans="1:5" x14ac:dyDescent="0.25">
      <c r="A148" t="s">
        <v>799</v>
      </c>
      <c r="B148" t="s">
        <v>778</v>
      </c>
      <c r="C148" t="s">
        <v>1585</v>
      </c>
      <c r="D148" t="s">
        <v>786</v>
      </c>
      <c r="E148" t="s">
        <v>600</v>
      </c>
    </row>
    <row r="149" spans="1:5" x14ac:dyDescent="0.25">
      <c r="A149" t="s">
        <v>799</v>
      </c>
      <c r="B149" t="s">
        <v>779</v>
      </c>
      <c r="C149" t="s">
        <v>1586</v>
      </c>
      <c r="D149" t="s">
        <v>786</v>
      </c>
      <c r="E149" t="s">
        <v>600</v>
      </c>
    </row>
    <row r="150" spans="1:5" x14ac:dyDescent="0.25">
      <c r="A150" t="s">
        <v>799</v>
      </c>
      <c r="B150" t="s">
        <v>780</v>
      </c>
      <c r="C150" t="s">
        <v>1587</v>
      </c>
      <c r="D150" t="s">
        <v>786</v>
      </c>
      <c r="E150" t="s">
        <v>600</v>
      </c>
    </row>
    <row r="151" spans="1:5" x14ac:dyDescent="0.25">
      <c r="A151" t="s">
        <v>799</v>
      </c>
      <c r="B151" t="s">
        <v>781</v>
      </c>
      <c r="C151" t="s">
        <v>1588</v>
      </c>
      <c r="D151" t="s">
        <v>786</v>
      </c>
      <c r="E151" t="s">
        <v>600</v>
      </c>
    </row>
    <row r="152" spans="1:5" x14ac:dyDescent="0.25">
      <c r="A152" t="s">
        <v>799</v>
      </c>
      <c r="B152" t="s">
        <v>782</v>
      </c>
      <c r="C152" t="s">
        <v>1589</v>
      </c>
      <c r="D152" t="s">
        <v>786</v>
      </c>
      <c r="E152" t="s">
        <v>600</v>
      </c>
    </row>
    <row r="153" spans="1:5" x14ac:dyDescent="0.25">
      <c r="A153" t="s">
        <v>799</v>
      </c>
      <c r="B153" t="s">
        <v>783</v>
      </c>
      <c r="C153" t="s">
        <v>1590</v>
      </c>
      <c r="D153" t="s">
        <v>786</v>
      </c>
      <c r="E153" t="s">
        <v>600</v>
      </c>
    </row>
    <row r="154" spans="1:5" x14ac:dyDescent="0.25">
      <c r="A154" t="s">
        <v>799</v>
      </c>
      <c r="B154" t="s">
        <v>784</v>
      </c>
      <c r="C154" t="s">
        <v>1591</v>
      </c>
      <c r="D154" t="s">
        <v>786</v>
      </c>
      <c r="E154" t="s">
        <v>600</v>
      </c>
    </row>
    <row r="155" spans="1:5" x14ac:dyDescent="0.25">
      <c r="A155" t="s">
        <v>799</v>
      </c>
      <c r="B155" t="s">
        <v>785</v>
      </c>
      <c r="C155" t="s">
        <v>1592</v>
      </c>
      <c r="D155" t="s">
        <v>786</v>
      </c>
      <c r="E155" t="s">
        <v>600</v>
      </c>
    </row>
    <row r="156" spans="1:5" x14ac:dyDescent="0.25">
      <c r="A156" t="s">
        <v>799</v>
      </c>
      <c r="B156" t="s">
        <v>604</v>
      </c>
      <c r="C156" t="s">
        <v>1593</v>
      </c>
      <c r="D156" t="s">
        <v>786</v>
      </c>
      <c r="E156" t="s">
        <v>600</v>
      </c>
    </row>
    <row r="157" spans="1:5" x14ac:dyDescent="0.25">
      <c r="A157" t="s">
        <v>799</v>
      </c>
      <c r="B157" t="s">
        <v>605</v>
      </c>
      <c r="C157" t="s">
        <v>1594</v>
      </c>
      <c r="D157" t="s">
        <v>786</v>
      </c>
      <c r="E157" t="s">
        <v>600</v>
      </c>
    </row>
    <row r="158" spans="1:5" x14ac:dyDescent="0.25">
      <c r="A158" t="s">
        <v>799</v>
      </c>
      <c r="B158" t="s">
        <v>606</v>
      </c>
      <c r="C158" t="s">
        <v>1595</v>
      </c>
      <c r="D158" t="s">
        <v>786</v>
      </c>
      <c r="E158" t="s">
        <v>600</v>
      </c>
    </row>
    <row r="159" spans="1:5" x14ac:dyDescent="0.25">
      <c r="A159" t="s">
        <v>799</v>
      </c>
      <c r="B159" t="s">
        <v>607</v>
      </c>
      <c r="C159" t="s">
        <v>1596</v>
      </c>
      <c r="D159" t="s">
        <v>786</v>
      </c>
      <c r="E159" t="s">
        <v>600</v>
      </c>
    </row>
    <row r="160" spans="1:5" x14ac:dyDescent="0.25">
      <c r="A160" t="s">
        <v>799</v>
      </c>
      <c r="B160" t="s">
        <v>608</v>
      </c>
      <c r="C160" t="s">
        <v>1597</v>
      </c>
      <c r="D160" t="s">
        <v>786</v>
      </c>
      <c r="E160" t="s">
        <v>600</v>
      </c>
    </row>
    <row r="161" spans="1:5" x14ac:dyDescent="0.25">
      <c r="A161" t="s">
        <v>799</v>
      </c>
      <c r="B161" t="s">
        <v>609</v>
      </c>
      <c r="C161" t="s">
        <v>1598</v>
      </c>
      <c r="D161" t="s">
        <v>786</v>
      </c>
      <c r="E161" t="s">
        <v>600</v>
      </c>
    </row>
    <row r="162" spans="1:5" x14ac:dyDescent="0.25">
      <c r="A162" t="s">
        <v>799</v>
      </c>
      <c r="B162" t="s">
        <v>610</v>
      </c>
      <c r="C162" t="s">
        <v>1599</v>
      </c>
      <c r="D162" t="s">
        <v>786</v>
      </c>
      <c r="E162" t="s">
        <v>600</v>
      </c>
    </row>
    <row r="163" spans="1:5" x14ac:dyDescent="0.25">
      <c r="A163" t="s">
        <v>799</v>
      </c>
      <c r="B163" t="s">
        <v>611</v>
      </c>
      <c r="C163" t="s">
        <v>1600</v>
      </c>
      <c r="D163" t="s">
        <v>786</v>
      </c>
      <c r="E163" t="s">
        <v>600</v>
      </c>
    </row>
    <row r="164" spans="1:5" x14ac:dyDescent="0.25">
      <c r="A164" t="s">
        <v>799</v>
      </c>
      <c r="B164" t="s">
        <v>612</v>
      </c>
      <c r="C164" t="s">
        <v>1601</v>
      </c>
      <c r="D164" t="s">
        <v>786</v>
      </c>
      <c r="E164" t="s">
        <v>600</v>
      </c>
    </row>
    <row r="165" spans="1:5" x14ac:dyDescent="0.25">
      <c r="A165" t="s">
        <v>799</v>
      </c>
      <c r="B165" t="s">
        <v>613</v>
      </c>
      <c r="C165" t="s">
        <v>1602</v>
      </c>
      <c r="D165" t="s">
        <v>786</v>
      </c>
      <c r="E165" t="s">
        <v>600</v>
      </c>
    </row>
    <row r="166" spans="1:5" x14ac:dyDescent="0.25">
      <c r="A166" t="s">
        <v>799</v>
      </c>
      <c r="B166" t="s">
        <v>615</v>
      </c>
      <c r="C166" t="s">
        <v>1603</v>
      </c>
      <c r="D166" t="s">
        <v>786</v>
      </c>
      <c r="E166" t="s">
        <v>600</v>
      </c>
    </row>
    <row r="167" spans="1:5" x14ac:dyDescent="0.25">
      <c r="A167" t="s">
        <v>799</v>
      </c>
      <c r="B167" t="s">
        <v>616</v>
      </c>
      <c r="C167" t="s">
        <v>1604</v>
      </c>
      <c r="D167" t="s">
        <v>786</v>
      </c>
      <c r="E167" t="s">
        <v>600</v>
      </c>
    </row>
    <row r="168" spans="1:5" x14ac:dyDescent="0.25">
      <c r="A168" t="s">
        <v>799</v>
      </c>
      <c r="B168" t="s">
        <v>617</v>
      </c>
      <c r="C168" t="s">
        <v>1605</v>
      </c>
      <c r="D168" t="s">
        <v>786</v>
      </c>
      <c r="E168" t="s">
        <v>600</v>
      </c>
    </row>
    <row r="169" spans="1:5" x14ac:dyDescent="0.25">
      <c r="A169" t="s">
        <v>799</v>
      </c>
      <c r="B169" t="s">
        <v>618</v>
      </c>
      <c r="C169" t="s">
        <v>1606</v>
      </c>
      <c r="D169" t="s">
        <v>786</v>
      </c>
      <c r="E169" t="s">
        <v>600</v>
      </c>
    </row>
    <row r="170" spans="1:5" x14ac:dyDescent="0.25">
      <c r="A170" t="s">
        <v>799</v>
      </c>
      <c r="B170" t="s">
        <v>619</v>
      </c>
      <c r="C170" t="s">
        <v>1607</v>
      </c>
      <c r="D170" t="s">
        <v>786</v>
      </c>
      <c r="E170" t="s">
        <v>600</v>
      </c>
    </row>
    <row r="171" spans="1:5" x14ac:dyDescent="0.25">
      <c r="A171" t="s">
        <v>799</v>
      </c>
      <c r="B171" t="s">
        <v>620</v>
      </c>
      <c r="C171" t="s">
        <v>1608</v>
      </c>
      <c r="D171" t="s">
        <v>786</v>
      </c>
      <c r="E171" t="s">
        <v>600</v>
      </c>
    </row>
    <row r="172" spans="1:5" x14ac:dyDescent="0.25">
      <c r="A172" t="s">
        <v>799</v>
      </c>
      <c r="B172" t="s">
        <v>621</v>
      </c>
      <c r="C172" t="s">
        <v>1609</v>
      </c>
      <c r="D172" t="s">
        <v>786</v>
      </c>
      <c r="E172" t="s">
        <v>600</v>
      </c>
    </row>
    <row r="173" spans="1:5" x14ac:dyDescent="0.25">
      <c r="A173" t="s">
        <v>799</v>
      </c>
      <c r="B173" t="s">
        <v>622</v>
      </c>
      <c r="C173" t="s">
        <v>1610</v>
      </c>
      <c r="D173" t="s">
        <v>786</v>
      </c>
      <c r="E173" t="s">
        <v>600</v>
      </c>
    </row>
    <row r="174" spans="1:5" x14ac:dyDescent="0.25">
      <c r="A174" t="s">
        <v>799</v>
      </c>
      <c r="B174" t="s">
        <v>623</v>
      </c>
      <c r="C174" t="s">
        <v>1611</v>
      </c>
      <c r="D174" t="s">
        <v>786</v>
      </c>
      <c r="E174" t="s">
        <v>600</v>
      </c>
    </row>
    <row r="175" spans="1:5" x14ac:dyDescent="0.25">
      <c r="A175" t="s">
        <v>799</v>
      </c>
      <c r="B175" t="s">
        <v>624</v>
      </c>
      <c r="C175" t="s">
        <v>1612</v>
      </c>
      <c r="D175" t="s">
        <v>786</v>
      </c>
      <c r="E175" t="s">
        <v>600</v>
      </c>
    </row>
    <row r="176" spans="1:5" x14ac:dyDescent="0.25">
      <c r="A176" t="s">
        <v>799</v>
      </c>
      <c r="B176" t="s">
        <v>626</v>
      </c>
      <c r="C176" t="s">
        <v>1613</v>
      </c>
      <c r="D176" t="s">
        <v>786</v>
      </c>
      <c r="E176" t="s">
        <v>600</v>
      </c>
    </row>
    <row r="177" spans="1:5" x14ac:dyDescent="0.25">
      <c r="A177" t="s">
        <v>799</v>
      </c>
      <c r="B177" t="s">
        <v>627</v>
      </c>
      <c r="C177" t="s">
        <v>1614</v>
      </c>
      <c r="D177" t="s">
        <v>786</v>
      </c>
      <c r="E177" t="s">
        <v>600</v>
      </c>
    </row>
    <row r="178" spans="1:5" x14ac:dyDescent="0.25">
      <c r="A178" t="s">
        <v>799</v>
      </c>
      <c r="B178" t="s">
        <v>628</v>
      </c>
      <c r="C178" t="s">
        <v>1615</v>
      </c>
      <c r="D178" t="s">
        <v>786</v>
      </c>
      <c r="E178" t="s">
        <v>600</v>
      </c>
    </row>
    <row r="179" spans="1:5" x14ac:dyDescent="0.25">
      <c r="A179" t="s">
        <v>799</v>
      </c>
      <c r="B179" t="s">
        <v>629</v>
      </c>
      <c r="C179" t="s">
        <v>1616</v>
      </c>
      <c r="D179" t="s">
        <v>786</v>
      </c>
      <c r="E179" t="s">
        <v>600</v>
      </c>
    </row>
    <row r="180" spans="1:5" x14ac:dyDescent="0.25">
      <c r="A180" t="s">
        <v>799</v>
      </c>
      <c r="B180" t="s">
        <v>630</v>
      </c>
      <c r="C180" t="s">
        <v>1617</v>
      </c>
      <c r="D180" t="s">
        <v>786</v>
      </c>
      <c r="E180" t="s">
        <v>600</v>
      </c>
    </row>
    <row r="181" spans="1:5" x14ac:dyDescent="0.25">
      <c r="A181" t="s">
        <v>799</v>
      </c>
      <c r="B181" t="s">
        <v>631</v>
      </c>
      <c r="C181" t="s">
        <v>1618</v>
      </c>
      <c r="D181" t="s">
        <v>786</v>
      </c>
      <c r="E181" t="s">
        <v>600</v>
      </c>
    </row>
    <row r="182" spans="1:5" x14ac:dyDescent="0.25">
      <c r="A182" t="s">
        <v>799</v>
      </c>
      <c r="B182" t="s">
        <v>632</v>
      </c>
      <c r="C182" t="s">
        <v>1619</v>
      </c>
      <c r="D182" t="s">
        <v>786</v>
      </c>
      <c r="E182" t="s">
        <v>600</v>
      </c>
    </row>
    <row r="183" spans="1:5" x14ac:dyDescent="0.25">
      <c r="A183" t="s">
        <v>799</v>
      </c>
      <c r="B183" t="s">
        <v>633</v>
      </c>
      <c r="C183" t="s">
        <v>1620</v>
      </c>
      <c r="D183" t="s">
        <v>786</v>
      </c>
      <c r="E183" t="s">
        <v>600</v>
      </c>
    </row>
    <row r="184" spans="1:5" x14ac:dyDescent="0.25">
      <c r="A184" t="s">
        <v>799</v>
      </c>
      <c r="B184" t="s">
        <v>634</v>
      </c>
      <c r="C184" t="s">
        <v>1621</v>
      </c>
      <c r="D184" t="s">
        <v>786</v>
      </c>
      <c r="E184" t="s">
        <v>600</v>
      </c>
    </row>
    <row r="185" spans="1:5" x14ac:dyDescent="0.25">
      <c r="A185" t="s">
        <v>799</v>
      </c>
      <c r="B185" t="s">
        <v>636</v>
      </c>
      <c r="C185" t="s">
        <v>1622</v>
      </c>
      <c r="D185" t="s">
        <v>786</v>
      </c>
      <c r="E185" t="s">
        <v>600</v>
      </c>
    </row>
    <row r="186" spans="1:5" x14ac:dyDescent="0.25">
      <c r="A186" t="s">
        <v>799</v>
      </c>
      <c r="B186" t="s">
        <v>637</v>
      </c>
      <c r="C186" t="s">
        <v>1623</v>
      </c>
      <c r="D186" t="s">
        <v>786</v>
      </c>
      <c r="E186" t="s">
        <v>600</v>
      </c>
    </row>
    <row r="187" spans="1:5" x14ac:dyDescent="0.25">
      <c r="A187" t="s">
        <v>799</v>
      </c>
      <c r="B187" t="s">
        <v>638</v>
      </c>
      <c r="C187" t="s">
        <v>1624</v>
      </c>
      <c r="D187" t="s">
        <v>786</v>
      </c>
      <c r="E187" t="s">
        <v>600</v>
      </c>
    </row>
    <row r="188" spans="1:5" x14ac:dyDescent="0.25">
      <c r="A188" t="s">
        <v>799</v>
      </c>
      <c r="B188" t="s">
        <v>639</v>
      </c>
      <c r="C188" t="s">
        <v>1625</v>
      </c>
      <c r="D188" t="s">
        <v>786</v>
      </c>
      <c r="E188" t="s">
        <v>600</v>
      </c>
    </row>
    <row r="189" spans="1:5" x14ac:dyDescent="0.25">
      <c r="A189" t="s">
        <v>799</v>
      </c>
      <c r="B189" t="s">
        <v>640</v>
      </c>
      <c r="C189" t="s">
        <v>1626</v>
      </c>
      <c r="D189" t="s">
        <v>786</v>
      </c>
      <c r="E189" t="s">
        <v>600</v>
      </c>
    </row>
    <row r="190" spans="1:5" x14ac:dyDescent="0.25">
      <c r="A190" t="s">
        <v>799</v>
      </c>
      <c r="B190" t="s">
        <v>641</v>
      </c>
      <c r="C190" t="s">
        <v>1627</v>
      </c>
      <c r="D190" t="s">
        <v>786</v>
      </c>
      <c r="E190" t="s">
        <v>600</v>
      </c>
    </row>
    <row r="191" spans="1:5" x14ac:dyDescent="0.25">
      <c r="A191" t="s">
        <v>799</v>
      </c>
      <c r="B191" t="s">
        <v>642</v>
      </c>
      <c r="C191" t="s">
        <v>1628</v>
      </c>
      <c r="D191" t="s">
        <v>786</v>
      </c>
      <c r="E191" t="s">
        <v>600</v>
      </c>
    </row>
    <row r="192" spans="1:5" x14ac:dyDescent="0.25">
      <c r="A192" t="s">
        <v>799</v>
      </c>
      <c r="B192" t="s">
        <v>643</v>
      </c>
      <c r="C192" t="s">
        <v>1629</v>
      </c>
      <c r="D192" t="s">
        <v>786</v>
      </c>
      <c r="E192" t="s">
        <v>600</v>
      </c>
    </row>
    <row r="193" spans="1:5" x14ac:dyDescent="0.25">
      <c r="A193" t="s">
        <v>799</v>
      </c>
      <c r="B193" t="s">
        <v>644</v>
      </c>
      <c r="C193" t="s">
        <v>1630</v>
      </c>
      <c r="D193" t="s">
        <v>786</v>
      </c>
      <c r="E193" t="s">
        <v>600</v>
      </c>
    </row>
    <row r="194" spans="1:5" x14ac:dyDescent="0.25">
      <c r="A194" t="s">
        <v>799</v>
      </c>
      <c r="B194" t="s">
        <v>646</v>
      </c>
      <c r="C194" t="s">
        <v>1631</v>
      </c>
      <c r="D194" t="s">
        <v>786</v>
      </c>
      <c r="E194" t="s">
        <v>600</v>
      </c>
    </row>
    <row r="195" spans="1:5" x14ac:dyDescent="0.25">
      <c r="A195" t="s">
        <v>799</v>
      </c>
      <c r="B195" t="s">
        <v>647</v>
      </c>
      <c r="C195" t="s">
        <v>1632</v>
      </c>
      <c r="D195" t="s">
        <v>786</v>
      </c>
      <c r="E195" t="s">
        <v>600</v>
      </c>
    </row>
    <row r="196" spans="1:5" x14ac:dyDescent="0.25">
      <c r="A196" t="s">
        <v>799</v>
      </c>
      <c r="B196" t="s">
        <v>648</v>
      </c>
      <c r="C196" t="s">
        <v>1633</v>
      </c>
      <c r="D196" t="s">
        <v>786</v>
      </c>
      <c r="E196" t="s">
        <v>600</v>
      </c>
    </row>
    <row r="197" spans="1:5" x14ac:dyDescent="0.25">
      <c r="A197" t="s">
        <v>799</v>
      </c>
      <c r="B197" t="s">
        <v>649</v>
      </c>
      <c r="C197" t="s">
        <v>1634</v>
      </c>
      <c r="D197" t="s">
        <v>786</v>
      </c>
      <c r="E197" t="s">
        <v>600</v>
      </c>
    </row>
    <row r="198" spans="1:5" x14ac:dyDescent="0.25">
      <c r="A198" t="s">
        <v>799</v>
      </c>
      <c r="B198" t="s">
        <v>650</v>
      </c>
      <c r="C198" t="s">
        <v>1635</v>
      </c>
      <c r="D198" t="s">
        <v>786</v>
      </c>
      <c r="E198" t="s">
        <v>600</v>
      </c>
    </row>
    <row r="199" spans="1:5" x14ac:dyDescent="0.25">
      <c r="A199" t="s">
        <v>799</v>
      </c>
      <c r="B199" t="s">
        <v>651</v>
      </c>
      <c r="C199" t="s">
        <v>1636</v>
      </c>
      <c r="D199" t="s">
        <v>786</v>
      </c>
      <c r="E199" t="s">
        <v>600</v>
      </c>
    </row>
    <row r="200" spans="1:5" x14ac:dyDescent="0.25">
      <c r="A200" t="s">
        <v>799</v>
      </c>
      <c r="B200" t="s">
        <v>652</v>
      </c>
      <c r="C200" t="s">
        <v>1637</v>
      </c>
      <c r="D200" t="s">
        <v>786</v>
      </c>
      <c r="E200" t="s">
        <v>600</v>
      </c>
    </row>
    <row r="201" spans="1:5" x14ac:dyDescent="0.25">
      <c r="A201" t="s">
        <v>799</v>
      </c>
      <c r="B201" t="s">
        <v>653</v>
      </c>
      <c r="C201" t="s">
        <v>1638</v>
      </c>
      <c r="D201" t="s">
        <v>786</v>
      </c>
      <c r="E201" t="s">
        <v>600</v>
      </c>
    </row>
    <row r="202" spans="1:5" x14ac:dyDescent="0.25">
      <c r="A202" t="s">
        <v>799</v>
      </c>
      <c r="B202" t="s">
        <v>654</v>
      </c>
      <c r="C202" t="s">
        <v>1639</v>
      </c>
      <c r="D202" t="s">
        <v>786</v>
      </c>
      <c r="E202" t="s">
        <v>600</v>
      </c>
    </row>
    <row r="203" spans="1:5" x14ac:dyDescent="0.25">
      <c r="A203" t="s">
        <v>799</v>
      </c>
      <c r="B203" t="s">
        <v>656</v>
      </c>
      <c r="C203" t="s">
        <v>1640</v>
      </c>
      <c r="D203" t="s">
        <v>786</v>
      </c>
      <c r="E203" t="s">
        <v>600</v>
      </c>
    </row>
    <row r="204" spans="1:5" x14ac:dyDescent="0.25">
      <c r="A204" t="s">
        <v>799</v>
      </c>
      <c r="B204" t="s">
        <v>657</v>
      </c>
      <c r="C204" t="s">
        <v>1641</v>
      </c>
      <c r="D204" t="s">
        <v>786</v>
      </c>
      <c r="E204" t="s">
        <v>600</v>
      </c>
    </row>
    <row r="205" spans="1:5" x14ac:dyDescent="0.25">
      <c r="A205" t="s">
        <v>799</v>
      </c>
      <c r="B205" t="s">
        <v>658</v>
      </c>
      <c r="C205" t="s">
        <v>1642</v>
      </c>
      <c r="D205" t="s">
        <v>786</v>
      </c>
      <c r="E205" t="s">
        <v>600</v>
      </c>
    </row>
    <row r="206" spans="1:5" x14ac:dyDescent="0.25">
      <c r="A206" t="s">
        <v>799</v>
      </c>
      <c r="B206" t="s">
        <v>659</v>
      </c>
      <c r="C206" t="s">
        <v>1643</v>
      </c>
      <c r="D206" t="s">
        <v>786</v>
      </c>
      <c r="E206" t="s">
        <v>600</v>
      </c>
    </row>
    <row r="207" spans="1:5" x14ac:dyDescent="0.25">
      <c r="A207" t="s">
        <v>799</v>
      </c>
      <c r="B207" t="s">
        <v>660</v>
      </c>
      <c r="C207" t="s">
        <v>1644</v>
      </c>
      <c r="D207" t="s">
        <v>786</v>
      </c>
      <c r="E207" t="s">
        <v>600</v>
      </c>
    </row>
    <row r="208" spans="1:5" x14ac:dyDescent="0.25">
      <c r="A208" t="s">
        <v>799</v>
      </c>
      <c r="B208" t="s">
        <v>661</v>
      </c>
      <c r="C208" t="s">
        <v>1645</v>
      </c>
      <c r="D208" t="s">
        <v>786</v>
      </c>
      <c r="E208" t="s">
        <v>600</v>
      </c>
    </row>
    <row r="209" spans="1:5" x14ac:dyDescent="0.25">
      <c r="A209" t="s">
        <v>799</v>
      </c>
      <c r="B209" t="s">
        <v>662</v>
      </c>
      <c r="C209" t="s">
        <v>1646</v>
      </c>
      <c r="D209" t="s">
        <v>786</v>
      </c>
      <c r="E209" t="s">
        <v>600</v>
      </c>
    </row>
    <row r="210" spans="1:5" x14ac:dyDescent="0.25">
      <c r="A210" t="s">
        <v>799</v>
      </c>
      <c r="B210" t="s">
        <v>664</v>
      </c>
      <c r="C210" t="s">
        <v>1647</v>
      </c>
      <c r="D210" t="s">
        <v>786</v>
      </c>
      <c r="E210" t="s">
        <v>600</v>
      </c>
    </row>
    <row r="211" spans="1:5" x14ac:dyDescent="0.25">
      <c r="A211" t="s">
        <v>799</v>
      </c>
      <c r="B211" t="s">
        <v>665</v>
      </c>
      <c r="C211" t="s">
        <v>1648</v>
      </c>
      <c r="D211" t="s">
        <v>786</v>
      </c>
      <c r="E211" t="s">
        <v>600</v>
      </c>
    </row>
    <row r="212" spans="1:5" x14ac:dyDescent="0.25">
      <c r="A212" t="s">
        <v>799</v>
      </c>
      <c r="B212" t="s">
        <v>666</v>
      </c>
      <c r="C212" t="s">
        <v>1649</v>
      </c>
      <c r="D212" t="s">
        <v>786</v>
      </c>
      <c r="E212" t="s">
        <v>600</v>
      </c>
    </row>
    <row r="213" spans="1:5" x14ac:dyDescent="0.25">
      <c r="A213" t="s">
        <v>799</v>
      </c>
      <c r="B213" t="s">
        <v>667</v>
      </c>
      <c r="C213" t="s">
        <v>1650</v>
      </c>
      <c r="D213" t="s">
        <v>786</v>
      </c>
      <c r="E213" t="s">
        <v>600</v>
      </c>
    </row>
    <row r="214" spans="1:5" x14ac:dyDescent="0.25">
      <c r="A214" t="s">
        <v>799</v>
      </c>
      <c r="B214" t="s">
        <v>668</v>
      </c>
      <c r="C214" t="s">
        <v>1651</v>
      </c>
      <c r="D214" t="s">
        <v>786</v>
      </c>
      <c r="E214" t="s">
        <v>600</v>
      </c>
    </row>
    <row r="215" spans="1:5" x14ac:dyDescent="0.25">
      <c r="A215" t="s">
        <v>799</v>
      </c>
      <c r="B215" t="s">
        <v>669</v>
      </c>
      <c r="C215" t="s">
        <v>1652</v>
      </c>
      <c r="D215" t="s">
        <v>786</v>
      </c>
      <c r="E215" t="s">
        <v>600</v>
      </c>
    </row>
    <row r="216" spans="1:5" x14ac:dyDescent="0.25">
      <c r="A216" t="s">
        <v>799</v>
      </c>
      <c r="B216" t="s">
        <v>671</v>
      </c>
      <c r="C216" t="s">
        <v>1653</v>
      </c>
      <c r="D216" t="s">
        <v>786</v>
      </c>
      <c r="E216" t="s">
        <v>600</v>
      </c>
    </row>
    <row r="217" spans="1:5" x14ac:dyDescent="0.25">
      <c r="A217" t="s">
        <v>799</v>
      </c>
      <c r="B217" t="s">
        <v>672</v>
      </c>
      <c r="C217" t="s">
        <v>1654</v>
      </c>
      <c r="D217" t="s">
        <v>786</v>
      </c>
      <c r="E217" t="s">
        <v>600</v>
      </c>
    </row>
    <row r="218" spans="1:5" x14ac:dyDescent="0.25">
      <c r="A218" t="s">
        <v>799</v>
      </c>
      <c r="B218" t="s">
        <v>673</v>
      </c>
      <c r="C218" t="s">
        <v>1655</v>
      </c>
      <c r="D218" t="s">
        <v>786</v>
      </c>
      <c r="E218" t="s">
        <v>600</v>
      </c>
    </row>
    <row r="219" spans="1:5" x14ac:dyDescent="0.25">
      <c r="A219" t="s">
        <v>799</v>
      </c>
      <c r="B219" t="s">
        <v>674</v>
      </c>
      <c r="C219" t="s">
        <v>1656</v>
      </c>
      <c r="D219" t="s">
        <v>786</v>
      </c>
      <c r="E219" t="s">
        <v>600</v>
      </c>
    </row>
    <row r="220" spans="1:5" x14ac:dyDescent="0.25">
      <c r="A220" t="s">
        <v>799</v>
      </c>
      <c r="B220" t="s">
        <v>675</v>
      </c>
      <c r="C220" t="s">
        <v>1657</v>
      </c>
      <c r="D220" t="s">
        <v>786</v>
      </c>
      <c r="E220" t="s">
        <v>600</v>
      </c>
    </row>
    <row r="221" spans="1:5" x14ac:dyDescent="0.25">
      <c r="A221" t="s">
        <v>799</v>
      </c>
      <c r="B221" t="s">
        <v>677</v>
      </c>
      <c r="C221" t="s">
        <v>1658</v>
      </c>
      <c r="D221" t="s">
        <v>786</v>
      </c>
      <c r="E221" t="s">
        <v>600</v>
      </c>
    </row>
    <row r="222" spans="1:5" x14ac:dyDescent="0.25">
      <c r="A222" t="s">
        <v>799</v>
      </c>
      <c r="B222" t="s">
        <v>678</v>
      </c>
      <c r="C222" t="s">
        <v>1659</v>
      </c>
      <c r="D222" t="s">
        <v>786</v>
      </c>
      <c r="E222" t="s">
        <v>600</v>
      </c>
    </row>
    <row r="223" spans="1:5" x14ac:dyDescent="0.25">
      <c r="A223" t="s">
        <v>799</v>
      </c>
      <c r="B223" t="s">
        <v>679</v>
      </c>
      <c r="C223" t="s">
        <v>1660</v>
      </c>
      <c r="D223" t="s">
        <v>786</v>
      </c>
      <c r="E223" t="s">
        <v>600</v>
      </c>
    </row>
    <row r="224" spans="1:5" x14ac:dyDescent="0.25">
      <c r="A224" t="s">
        <v>799</v>
      </c>
      <c r="B224" t="s">
        <v>680</v>
      </c>
      <c r="C224" t="s">
        <v>1661</v>
      </c>
      <c r="D224" t="s">
        <v>786</v>
      </c>
      <c r="E224" t="s">
        <v>600</v>
      </c>
    </row>
    <row r="225" spans="1:5" x14ac:dyDescent="0.25">
      <c r="A225" t="s">
        <v>799</v>
      </c>
      <c r="B225" t="s">
        <v>681</v>
      </c>
      <c r="C225" t="s">
        <v>1662</v>
      </c>
      <c r="D225" t="s">
        <v>786</v>
      </c>
      <c r="E225" t="s">
        <v>600</v>
      </c>
    </row>
    <row r="226" spans="1:5" x14ac:dyDescent="0.25">
      <c r="A226" t="s">
        <v>799</v>
      </c>
      <c r="B226" t="s">
        <v>682</v>
      </c>
      <c r="C226" t="s">
        <v>1663</v>
      </c>
      <c r="D226" t="s">
        <v>786</v>
      </c>
      <c r="E226" t="s">
        <v>600</v>
      </c>
    </row>
    <row r="227" spans="1:5" x14ac:dyDescent="0.25">
      <c r="A227" t="s">
        <v>799</v>
      </c>
      <c r="B227" t="s">
        <v>683</v>
      </c>
      <c r="C227" t="s">
        <v>1664</v>
      </c>
      <c r="D227" t="s">
        <v>786</v>
      </c>
      <c r="E227" t="s">
        <v>600</v>
      </c>
    </row>
    <row r="228" spans="1:5" x14ac:dyDescent="0.25">
      <c r="A228" t="s">
        <v>799</v>
      </c>
      <c r="B228" t="s">
        <v>684</v>
      </c>
      <c r="C228" t="s">
        <v>1665</v>
      </c>
      <c r="D228" t="s">
        <v>786</v>
      </c>
      <c r="E228" t="s">
        <v>600</v>
      </c>
    </row>
    <row r="229" spans="1:5" x14ac:dyDescent="0.25">
      <c r="A229" t="s">
        <v>799</v>
      </c>
      <c r="B229" t="s">
        <v>686</v>
      </c>
      <c r="C229" t="s">
        <v>1666</v>
      </c>
      <c r="D229" t="s">
        <v>786</v>
      </c>
      <c r="E229" t="s">
        <v>600</v>
      </c>
    </row>
    <row r="230" spans="1:5" x14ac:dyDescent="0.25">
      <c r="A230" t="s">
        <v>799</v>
      </c>
      <c r="B230" t="s">
        <v>687</v>
      </c>
      <c r="C230" t="s">
        <v>1667</v>
      </c>
      <c r="D230" t="s">
        <v>786</v>
      </c>
      <c r="E230" t="s">
        <v>600</v>
      </c>
    </row>
    <row r="231" spans="1:5" x14ac:dyDescent="0.25">
      <c r="A231" t="s">
        <v>799</v>
      </c>
      <c r="B231" t="s">
        <v>688</v>
      </c>
      <c r="C231" t="s">
        <v>1668</v>
      </c>
      <c r="D231" t="s">
        <v>786</v>
      </c>
      <c r="E231" t="s">
        <v>600</v>
      </c>
    </row>
    <row r="232" spans="1:5" x14ac:dyDescent="0.25">
      <c r="A232" t="s">
        <v>799</v>
      </c>
      <c r="B232" t="s">
        <v>689</v>
      </c>
      <c r="C232" t="s">
        <v>1669</v>
      </c>
      <c r="D232" t="s">
        <v>786</v>
      </c>
      <c r="E232" t="s">
        <v>600</v>
      </c>
    </row>
    <row r="233" spans="1:5" x14ac:dyDescent="0.25">
      <c r="A233" t="s">
        <v>799</v>
      </c>
      <c r="B233" t="s">
        <v>690</v>
      </c>
      <c r="C233" t="s">
        <v>1670</v>
      </c>
      <c r="D233" t="s">
        <v>786</v>
      </c>
      <c r="E233" t="s">
        <v>600</v>
      </c>
    </row>
    <row r="234" spans="1:5" x14ac:dyDescent="0.25">
      <c r="A234" t="s">
        <v>799</v>
      </c>
      <c r="B234" t="s">
        <v>691</v>
      </c>
      <c r="C234" t="s">
        <v>1671</v>
      </c>
      <c r="D234" t="s">
        <v>786</v>
      </c>
      <c r="E234" t="s">
        <v>600</v>
      </c>
    </row>
    <row r="235" spans="1:5" x14ac:dyDescent="0.25">
      <c r="A235" t="s">
        <v>799</v>
      </c>
      <c r="B235" t="s">
        <v>692</v>
      </c>
      <c r="C235" t="s">
        <v>1672</v>
      </c>
      <c r="D235" t="s">
        <v>786</v>
      </c>
      <c r="E235" t="s">
        <v>600</v>
      </c>
    </row>
    <row r="236" spans="1:5" x14ac:dyDescent="0.25">
      <c r="A236" t="s">
        <v>799</v>
      </c>
      <c r="B236" t="s">
        <v>695</v>
      </c>
      <c r="C236" t="s">
        <v>1673</v>
      </c>
      <c r="D236" t="s">
        <v>786</v>
      </c>
      <c r="E236" t="s">
        <v>600</v>
      </c>
    </row>
    <row r="237" spans="1:5" x14ac:dyDescent="0.25">
      <c r="A237" t="s">
        <v>799</v>
      </c>
      <c r="B237" t="s">
        <v>696</v>
      </c>
      <c r="C237" t="s">
        <v>1674</v>
      </c>
      <c r="D237" t="s">
        <v>786</v>
      </c>
      <c r="E237" t="s">
        <v>600</v>
      </c>
    </row>
    <row r="238" spans="1:5" x14ac:dyDescent="0.25">
      <c r="A238" t="s">
        <v>799</v>
      </c>
      <c r="B238" t="s">
        <v>697</v>
      </c>
      <c r="C238" t="s">
        <v>1675</v>
      </c>
      <c r="D238" t="s">
        <v>786</v>
      </c>
      <c r="E238" t="s">
        <v>600</v>
      </c>
    </row>
    <row r="239" spans="1:5" x14ac:dyDescent="0.25">
      <c r="A239" t="s">
        <v>799</v>
      </c>
      <c r="B239" t="s">
        <v>698</v>
      </c>
      <c r="C239" t="s">
        <v>1676</v>
      </c>
      <c r="D239" t="s">
        <v>786</v>
      </c>
      <c r="E239" t="s">
        <v>600</v>
      </c>
    </row>
    <row r="240" spans="1:5" x14ac:dyDescent="0.25">
      <c r="A240" t="s">
        <v>799</v>
      </c>
      <c r="B240" t="s">
        <v>699</v>
      </c>
      <c r="C240" t="s">
        <v>1677</v>
      </c>
      <c r="D240" t="s">
        <v>786</v>
      </c>
      <c r="E240" t="s">
        <v>600</v>
      </c>
    </row>
    <row r="241" spans="1:5" x14ac:dyDescent="0.25">
      <c r="A241" t="s">
        <v>799</v>
      </c>
      <c r="B241" t="s">
        <v>700</v>
      </c>
      <c r="C241" t="s">
        <v>1678</v>
      </c>
      <c r="D241" t="s">
        <v>786</v>
      </c>
      <c r="E241" t="s">
        <v>600</v>
      </c>
    </row>
    <row r="242" spans="1:5" x14ac:dyDescent="0.25">
      <c r="A242" t="s">
        <v>799</v>
      </c>
      <c r="B242" t="s">
        <v>702</v>
      </c>
      <c r="C242" t="s">
        <v>1679</v>
      </c>
      <c r="D242" t="s">
        <v>786</v>
      </c>
      <c r="E242" t="s">
        <v>600</v>
      </c>
    </row>
    <row r="243" spans="1:5" x14ac:dyDescent="0.25">
      <c r="A243" t="s">
        <v>799</v>
      </c>
      <c r="B243" t="s">
        <v>703</v>
      </c>
      <c r="C243" t="s">
        <v>1680</v>
      </c>
      <c r="D243" t="s">
        <v>786</v>
      </c>
      <c r="E243" t="s">
        <v>600</v>
      </c>
    </row>
    <row r="244" spans="1:5" x14ac:dyDescent="0.25">
      <c r="A244" t="s">
        <v>799</v>
      </c>
      <c r="B244" t="s">
        <v>704</v>
      </c>
      <c r="C244" t="s">
        <v>1681</v>
      </c>
      <c r="D244" t="s">
        <v>786</v>
      </c>
      <c r="E244" t="s">
        <v>600</v>
      </c>
    </row>
    <row r="245" spans="1:5" x14ac:dyDescent="0.25">
      <c r="A245" t="s">
        <v>799</v>
      </c>
      <c r="B245" t="s">
        <v>705</v>
      </c>
      <c r="C245" t="s">
        <v>1682</v>
      </c>
      <c r="D245" t="s">
        <v>786</v>
      </c>
      <c r="E245" t="s">
        <v>600</v>
      </c>
    </row>
    <row r="246" spans="1:5" x14ac:dyDescent="0.25">
      <c r="A246" t="s">
        <v>799</v>
      </c>
      <c r="B246" t="s">
        <v>707</v>
      </c>
      <c r="C246" t="s">
        <v>1683</v>
      </c>
      <c r="D246" t="s">
        <v>786</v>
      </c>
      <c r="E246" t="s">
        <v>600</v>
      </c>
    </row>
    <row r="247" spans="1:5" x14ac:dyDescent="0.25">
      <c r="A247" t="s">
        <v>799</v>
      </c>
      <c r="B247" t="s">
        <v>708</v>
      </c>
      <c r="C247" t="s">
        <v>1684</v>
      </c>
      <c r="D247" t="s">
        <v>786</v>
      </c>
      <c r="E247" t="s">
        <v>600</v>
      </c>
    </row>
    <row r="248" spans="1:5" x14ac:dyDescent="0.25">
      <c r="A248" t="s">
        <v>799</v>
      </c>
      <c r="B248" t="s">
        <v>709</v>
      </c>
      <c r="C248" t="s">
        <v>1685</v>
      </c>
      <c r="D248" t="s">
        <v>786</v>
      </c>
      <c r="E248" t="s">
        <v>600</v>
      </c>
    </row>
    <row r="249" spans="1:5" x14ac:dyDescent="0.25">
      <c r="A249" t="s">
        <v>799</v>
      </c>
      <c r="B249" t="s">
        <v>710</v>
      </c>
      <c r="C249" t="s">
        <v>1686</v>
      </c>
      <c r="D249" t="s">
        <v>786</v>
      </c>
      <c r="E249" t="s">
        <v>600</v>
      </c>
    </row>
    <row r="250" spans="1:5" x14ac:dyDescent="0.25">
      <c r="A250" t="s">
        <v>799</v>
      </c>
      <c r="B250" t="s">
        <v>711</v>
      </c>
      <c r="C250" t="s">
        <v>1687</v>
      </c>
      <c r="D250" t="s">
        <v>786</v>
      </c>
      <c r="E250" t="s">
        <v>600</v>
      </c>
    </row>
    <row r="251" spans="1:5" x14ac:dyDescent="0.25">
      <c r="A251" t="s">
        <v>799</v>
      </c>
      <c r="B251" t="s">
        <v>712</v>
      </c>
      <c r="C251" t="s">
        <v>1688</v>
      </c>
      <c r="D251" t="s">
        <v>786</v>
      </c>
      <c r="E251" t="s">
        <v>600</v>
      </c>
    </row>
    <row r="252" spans="1:5" x14ac:dyDescent="0.25">
      <c r="A252" t="s">
        <v>799</v>
      </c>
      <c r="B252" t="s">
        <v>714</v>
      </c>
      <c r="C252" t="s">
        <v>1689</v>
      </c>
      <c r="D252" t="s">
        <v>786</v>
      </c>
      <c r="E252" t="s">
        <v>600</v>
      </c>
    </row>
    <row r="253" spans="1:5" x14ac:dyDescent="0.25">
      <c r="A253" t="s">
        <v>799</v>
      </c>
      <c r="B253" t="s">
        <v>715</v>
      </c>
      <c r="C253" t="s">
        <v>1690</v>
      </c>
      <c r="D253" t="s">
        <v>786</v>
      </c>
      <c r="E253" t="s">
        <v>600</v>
      </c>
    </row>
    <row r="254" spans="1:5" x14ac:dyDescent="0.25">
      <c r="A254" t="s">
        <v>799</v>
      </c>
      <c r="B254" t="s">
        <v>716</v>
      </c>
      <c r="C254" t="s">
        <v>1691</v>
      </c>
      <c r="D254" t="s">
        <v>786</v>
      </c>
      <c r="E254" t="s">
        <v>600</v>
      </c>
    </row>
    <row r="255" spans="1:5" x14ac:dyDescent="0.25">
      <c r="A255" t="s">
        <v>799</v>
      </c>
      <c r="B255" t="s">
        <v>718</v>
      </c>
      <c r="C255" t="s">
        <v>1692</v>
      </c>
      <c r="D255" t="s">
        <v>786</v>
      </c>
      <c r="E255" t="s">
        <v>600</v>
      </c>
    </row>
    <row r="256" spans="1:5" x14ac:dyDescent="0.25">
      <c r="A256" t="s">
        <v>799</v>
      </c>
      <c r="B256" t="s">
        <v>719</v>
      </c>
      <c r="C256" t="s">
        <v>1693</v>
      </c>
      <c r="D256" t="s">
        <v>786</v>
      </c>
      <c r="E256" t="s">
        <v>600</v>
      </c>
    </row>
    <row r="257" spans="1:4" x14ac:dyDescent="0.25">
      <c r="A257" t="s">
        <v>796</v>
      </c>
      <c r="B257" t="s">
        <v>1706</v>
      </c>
      <c r="C257" t="s">
        <v>1983</v>
      </c>
      <c r="D257" t="s">
        <v>601</v>
      </c>
    </row>
    <row r="258" spans="1:4" x14ac:dyDescent="0.25">
      <c r="A258" t="s">
        <v>796</v>
      </c>
      <c r="B258" t="s">
        <v>1707</v>
      </c>
      <c r="C258" t="s">
        <v>1984</v>
      </c>
      <c r="D258" t="s">
        <v>601</v>
      </c>
    </row>
    <row r="259" spans="1:4" x14ac:dyDescent="0.25">
      <c r="A259" t="s">
        <v>796</v>
      </c>
      <c r="B259" t="s">
        <v>1708</v>
      </c>
      <c r="C259" t="s">
        <v>1985</v>
      </c>
      <c r="D259" t="s">
        <v>601</v>
      </c>
    </row>
    <row r="260" spans="1:4" x14ac:dyDescent="0.25">
      <c r="A260" t="s">
        <v>796</v>
      </c>
      <c r="B260" t="s">
        <v>1709</v>
      </c>
      <c r="C260" t="s">
        <v>1986</v>
      </c>
      <c r="D260" t="s">
        <v>601</v>
      </c>
    </row>
    <row r="261" spans="1:4" x14ac:dyDescent="0.25">
      <c r="A261" t="s">
        <v>796</v>
      </c>
      <c r="B261" t="s">
        <v>1710</v>
      </c>
      <c r="C261" t="s">
        <v>1987</v>
      </c>
      <c r="D261" t="s">
        <v>601</v>
      </c>
    </row>
    <row r="262" spans="1:4" x14ac:dyDescent="0.25">
      <c r="A262" t="s">
        <v>796</v>
      </c>
      <c r="B262" t="s">
        <v>1711</v>
      </c>
      <c r="C262" t="s">
        <v>1988</v>
      </c>
      <c r="D262" t="s">
        <v>601</v>
      </c>
    </row>
    <row r="263" spans="1:4" x14ac:dyDescent="0.25">
      <c r="A263" t="s">
        <v>796</v>
      </c>
      <c r="B263" t="s">
        <v>1712</v>
      </c>
      <c r="C263" t="s">
        <v>1989</v>
      </c>
      <c r="D263" t="s">
        <v>601</v>
      </c>
    </row>
    <row r="264" spans="1:4" x14ac:dyDescent="0.25">
      <c r="A264" t="s">
        <v>796</v>
      </c>
      <c r="B264" t="s">
        <v>1713</v>
      </c>
      <c r="C264" t="s">
        <v>1990</v>
      </c>
      <c r="D264" t="s">
        <v>601</v>
      </c>
    </row>
    <row r="265" spans="1:4" x14ac:dyDescent="0.25">
      <c r="A265" t="s">
        <v>796</v>
      </c>
      <c r="B265" t="s">
        <v>1714</v>
      </c>
      <c r="C265" t="s">
        <v>1991</v>
      </c>
      <c r="D265" t="s">
        <v>601</v>
      </c>
    </row>
    <row r="266" spans="1:4" x14ac:dyDescent="0.25">
      <c r="A266" t="s">
        <v>796</v>
      </c>
      <c r="B266" t="s">
        <v>1715</v>
      </c>
      <c r="C266" t="s">
        <v>1992</v>
      </c>
      <c r="D266" t="s">
        <v>601</v>
      </c>
    </row>
    <row r="267" spans="1:4" x14ac:dyDescent="0.25">
      <c r="A267" t="s">
        <v>796</v>
      </c>
      <c r="B267" t="s">
        <v>1716</v>
      </c>
      <c r="C267" t="s">
        <v>1993</v>
      </c>
      <c r="D267" t="s">
        <v>601</v>
      </c>
    </row>
    <row r="268" spans="1:4" x14ac:dyDescent="0.25">
      <c r="A268" t="s">
        <v>796</v>
      </c>
      <c r="B268" t="s">
        <v>1717</v>
      </c>
      <c r="C268" t="s">
        <v>1994</v>
      </c>
      <c r="D268" t="s">
        <v>601</v>
      </c>
    </row>
    <row r="269" spans="1:4" x14ac:dyDescent="0.25">
      <c r="A269" t="s">
        <v>796</v>
      </c>
      <c r="B269" t="s">
        <v>1718</v>
      </c>
      <c r="C269" t="s">
        <v>1995</v>
      </c>
      <c r="D269" t="s">
        <v>601</v>
      </c>
    </row>
    <row r="270" spans="1:4" x14ac:dyDescent="0.25">
      <c r="A270" t="s">
        <v>796</v>
      </c>
      <c r="B270" t="s">
        <v>1719</v>
      </c>
      <c r="C270" t="s">
        <v>1996</v>
      </c>
      <c r="D270" t="s">
        <v>601</v>
      </c>
    </row>
    <row r="271" spans="1:4" x14ac:dyDescent="0.25">
      <c r="A271" t="s">
        <v>796</v>
      </c>
      <c r="B271" t="s">
        <v>1720</v>
      </c>
      <c r="C271" t="s">
        <v>1997</v>
      </c>
      <c r="D271" t="s">
        <v>601</v>
      </c>
    </row>
    <row r="272" spans="1:4" x14ac:dyDescent="0.25">
      <c r="A272" t="s">
        <v>796</v>
      </c>
      <c r="B272" t="s">
        <v>1721</v>
      </c>
      <c r="C272" t="s">
        <v>1998</v>
      </c>
      <c r="D272" t="s">
        <v>601</v>
      </c>
    </row>
    <row r="273" spans="1:4" x14ac:dyDescent="0.25">
      <c r="A273" t="s">
        <v>796</v>
      </c>
      <c r="B273" t="s">
        <v>1722</v>
      </c>
      <c r="C273" t="s">
        <v>1999</v>
      </c>
      <c r="D273" t="s">
        <v>601</v>
      </c>
    </row>
    <row r="274" spans="1:4" x14ac:dyDescent="0.25">
      <c r="A274" t="s">
        <v>796</v>
      </c>
      <c r="B274" t="s">
        <v>1723</v>
      </c>
      <c r="C274" t="s">
        <v>2000</v>
      </c>
      <c r="D274" t="s">
        <v>601</v>
      </c>
    </row>
    <row r="275" spans="1:4" x14ac:dyDescent="0.25">
      <c r="A275" t="s">
        <v>796</v>
      </c>
      <c r="B275" t="s">
        <v>1724</v>
      </c>
      <c r="C275" t="s">
        <v>2001</v>
      </c>
      <c r="D275" t="s">
        <v>601</v>
      </c>
    </row>
    <row r="276" spans="1:4" x14ac:dyDescent="0.25">
      <c r="A276" t="s">
        <v>796</v>
      </c>
      <c r="B276" t="s">
        <v>1725</v>
      </c>
      <c r="C276" t="s">
        <v>2002</v>
      </c>
      <c r="D276" t="s">
        <v>601</v>
      </c>
    </row>
    <row r="277" spans="1:4" x14ac:dyDescent="0.25">
      <c r="A277" t="s">
        <v>796</v>
      </c>
      <c r="B277" t="s">
        <v>1726</v>
      </c>
      <c r="C277" t="s">
        <v>2003</v>
      </c>
      <c r="D277" t="s">
        <v>601</v>
      </c>
    </row>
    <row r="278" spans="1:4" x14ac:dyDescent="0.25">
      <c r="A278" t="s">
        <v>796</v>
      </c>
      <c r="B278" t="s">
        <v>1727</v>
      </c>
      <c r="C278" t="s">
        <v>2004</v>
      </c>
      <c r="D278" t="s">
        <v>601</v>
      </c>
    </row>
    <row r="279" spans="1:4" x14ac:dyDescent="0.25">
      <c r="A279" t="s">
        <v>796</v>
      </c>
      <c r="B279" t="s">
        <v>1728</v>
      </c>
      <c r="C279" t="s">
        <v>2005</v>
      </c>
      <c r="D279" t="s">
        <v>601</v>
      </c>
    </row>
    <row r="280" spans="1:4" x14ac:dyDescent="0.25">
      <c r="A280" t="s">
        <v>796</v>
      </c>
      <c r="B280" t="s">
        <v>1729</v>
      </c>
      <c r="C280" t="s">
        <v>2006</v>
      </c>
      <c r="D280" t="s">
        <v>601</v>
      </c>
    </row>
    <row r="281" spans="1:4" x14ac:dyDescent="0.25">
      <c r="A281" t="s">
        <v>796</v>
      </c>
      <c r="B281" t="s">
        <v>1730</v>
      </c>
      <c r="C281" t="s">
        <v>2007</v>
      </c>
      <c r="D281" t="s">
        <v>601</v>
      </c>
    </row>
    <row r="282" spans="1:4" x14ac:dyDescent="0.25">
      <c r="A282" t="s">
        <v>796</v>
      </c>
      <c r="B282" t="s">
        <v>1731</v>
      </c>
      <c r="C282" t="s">
        <v>2008</v>
      </c>
      <c r="D282" t="s">
        <v>601</v>
      </c>
    </row>
    <row r="283" spans="1:4" x14ac:dyDescent="0.25">
      <c r="A283" t="s">
        <v>796</v>
      </c>
      <c r="B283" t="s">
        <v>1732</v>
      </c>
      <c r="C283" t="s">
        <v>2009</v>
      </c>
      <c r="D283" t="s">
        <v>601</v>
      </c>
    </row>
    <row r="284" spans="1:4" x14ac:dyDescent="0.25">
      <c r="A284" t="s">
        <v>796</v>
      </c>
      <c r="B284" t="s">
        <v>1733</v>
      </c>
      <c r="C284" t="s">
        <v>2010</v>
      </c>
      <c r="D284" t="s">
        <v>601</v>
      </c>
    </row>
    <row r="285" spans="1:4" x14ac:dyDescent="0.25">
      <c r="A285" t="s">
        <v>796</v>
      </c>
      <c r="B285" t="s">
        <v>1734</v>
      </c>
      <c r="C285" t="s">
        <v>2011</v>
      </c>
      <c r="D285" t="s">
        <v>601</v>
      </c>
    </row>
    <row r="286" spans="1:4" x14ac:dyDescent="0.25">
      <c r="A286" t="s">
        <v>796</v>
      </c>
      <c r="B286" t="s">
        <v>1735</v>
      </c>
      <c r="C286" t="s">
        <v>2012</v>
      </c>
      <c r="D286" t="s">
        <v>601</v>
      </c>
    </row>
    <row r="287" spans="1:4" x14ac:dyDescent="0.25">
      <c r="A287" t="s">
        <v>796</v>
      </c>
      <c r="B287" t="s">
        <v>1736</v>
      </c>
      <c r="C287" t="s">
        <v>2013</v>
      </c>
      <c r="D287" t="s">
        <v>601</v>
      </c>
    </row>
    <row r="288" spans="1:4" x14ac:dyDescent="0.25">
      <c r="A288" t="s">
        <v>796</v>
      </c>
      <c r="B288" t="s">
        <v>1737</v>
      </c>
      <c r="C288" t="s">
        <v>2014</v>
      </c>
      <c r="D288" t="s">
        <v>601</v>
      </c>
    </row>
    <row r="289" spans="1:4" x14ac:dyDescent="0.25">
      <c r="A289" t="s">
        <v>796</v>
      </c>
      <c r="B289" t="s">
        <v>1738</v>
      </c>
      <c r="C289" t="s">
        <v>2015</v>
      </c>
      <c r="D289" t="s">
        <v>601</v>
      </c>
    </row>
    <row r="290" spans="1:4" x14ac:dyDescent="0.25">
      <c r="A290" t="s">
        <v>796</v>
      </c>
      <c r="B290" t="s">
        <v>1739</v>
      </c>
      <c r="C290" t="s">
        <v>2016</v>
      </c>
      <c r="D290" t="s">
        <v>601</v>
      </c>
    </row>
    <row r="291" spans="1:4" x14ac:dyDescent="0.25">
      <c r="A291" t="s">
        <v>796</v>
      </c>
      <c r="B291" t="s">
        <v>1740</v>
      </c>
      <c r="C291" t="s">
        <v>2017</v>
      </c>
      <c r="D291" t="s">
        <v>601</v>
      </c>
    </row>
    <row r="292" spans="1:4" x14ac:dyDescent="0.25">
      <c r="A292" t="s">
        <v>796</v>
      </c>
      <c r="B292" t="s">
        <v>1741</v>
      </c>
      <c r="C292" t="s">
        <v>2018</v>
      </c>
      <c r="D292" t="s">
        <v>601</v>
      </c>
    </row>
    <row r="293" spans="1:4" x14ac:dyDescent="0.25">
      <c r="A293" t="s">
        <v>796</v>
      </c>
      <c r="B293" t="s">
        <v>1742</v>
      </c>
      <c r="C293" t="s">
        <v>2019</v>
      </c>
      <c r="D293" t="s">
        <v>601</v>
      </c>
    </row>
    <row r="294" spans="1:4" x14ac:dyDescent="0.25">
      <c r="A294" t="s">
        <v>796</v>
      </c>
      <c r="B294" t="s">
        <v>1743</v>
      </c>
      <c r="C294" t="s">
        <v>2020</v>
      </c>
      <c r="D294" t="s">
        <v>601</v>
      </c>
    </row>
    <row r="295" spans="1:4" x14ac:dyDescent="0.25">
      <c r="A295" t="s">
        <v>796</v>
      </c>
      <c r="B295" t="s">
        <v>1744</v>
      </c>
      <c r="C295" t="s">
        <v>2021</v>
      </c>
      <c r="D295" t="s">
        <v>601</v>
      </c>
    </row>
    <row r="296" spans="1:4" x14ac:dyDescent="0.25">
      <c r="A296" t="s">
        <v>796</v>
      </c>
      <c r="B296" t="s">
        <v>1745</v>
      </c>
      <c r="C296" t="s">
        <v>2022</v>
      </c>
      <c r="D296" t="s">
        <v>601</v>
      </c>
    </row>
    <row r="297" spans="1:4" x14ac:dyDescent="0.25">
      <c r="A297" t="s">
        <v>796</v>
      </c>
      <c r="B297" t="s">
        <v>1746</v>
      </c>
      <c r="C297" t="s">
        <v>2023</v>
      </c>
      <c r="D297" t="s">
        <v>601</v>
      </c>
    </row>
    <row r="298" spans="1:4" x14ac:dyDescent="0.25">
      <c r="A298" t="s">
        <v>796</v>
      </c>
      <c r="B298" t="s">
        <v>1747</v>
      </c>
      <c r="C298" t="s">
        <v>2024</v>
      </c>
      <c r="D298" t="s">
        <v>601</v>
      </c>
    </row>
    <row r="299" spans="1:4" x14ac:dyDescent="0.25">
      <c r="A299" t="s">
        <v>796</v>
      </c>
      <c r="B299" t="s">
        <v>1748</v>
      </c>
      <c r="C299" t="s">
        <v>2025</v>
      </c>
      <c r="D299" t="s">
        <v>601</v>
      </c>
    </row>
    <row r="300" spans="1:4" x14ac:dyDescent="0.25">
      <c r="A300" t="s">
        <v>796</v>
      </c>
      <c r="B300" t="s">
        <v>1749</v>
      </c>
      <c r="C300" t="s">
        <v>2026</v>
      </c>
      <c r="D300" t="s">
        <v>601</v>
      </c>
    </row>
    <row r="301" spans="1:4" x14ac:dyDescent="0.25">
      <c r="A301" t="s">
        <v>796</v>
      </c>
      <c r="B301" t="s">
        <v>1750</v>
      </c>
      <c r="C301" t="s">
        <v>2027</v>
      </c>
      <c r="D301" t="s">
        <v>601</v>
      </c>
    </row>
    <row r="302" spans="1:4" x14ac:dyDescent="0.25">
      <c r="A302" t="s">
        <v>796</v>
      </c>
      <c r="B302" t="s">
        <v>1751</v>
      </c>
      <c r="C302" t="s">
        <v>2028</v>
      </c>
      <c r="D302" t="s">
        <v>601</v>
      </c>
    </row>
    <row r="303" spans="1:4" x14ac:dyDescent="0.25">
      <c r="A303" t="s">
        <v>796</v>
      </c>
      <c r="B303" t="s">
        <v>1752</v>
      </c>
      <c r="C303" t="s">
        <v>2029</v>
      </c>
      <c r="D303" t="s">
        <v>601</v>
      </c>
    </row>
    <row r="304" spans="1:4" x14ac:dyDescent="0.25">
      <c r="A304" t="s">
        <v>796</v>
      </c>
      <c r="B304" t="s">
        <v>1753</v>
      </c>
      <c r="C304" t="s">
        <v>2030</v>
      </c>
      <c r="D304" t="s">
        <v>601</v>
      </c>
    </row>
    <row r="305" spans="1:4" x14ac:dyDescent="0.25">
      <c r="A305" t="s">
        <v>796</v>
      </c>
      <c r="B305" t="s">
        <v>1754</v>
      </c>
      <c r="C305" t="s">
        <v>2031</v>
      </c>
      <c r="D305" t="s">
        <v>601</v>
      </c>
    </row>
    <row r="306" spans="1:4" x14ac:dyDescent="0.25">
      <c r="A306" t="s">
        <v>796</v>
      </c>
      <c r="B306" t="s">
        <v>1755</v>
      </c>
      <c r="C306" t="s">
        <v>2032</v>
      </c>
      <c r="D306" t="s">
        <v>601</v>
      </c>
    </row>
    <row r="307" spans="1:4" x14ac:dyDescent="0.25">
      <c r="A307" t="s">
        <v>796</v>
      </c>
      <c r="B307" t="s">
        <v>1756</v>
      </c>
      <c r="C307" t="s">
        <v>2033</v>
      </c>
      <c r="D307" t="s">
        <v>601</v>
      </c>
    </row>
    <row r="308" spans="1:4" x14ac:dyDescent="0.25">
      <c r="A308" t="s">
        <v>796</v>
      </c>
      <c r="B308" t="s">
        <v>1757</v>
      </c>
      <c r="C308" t="s">
        <v>2034</v>
      </c>
      <c r="D308" t="s">
        <v>601</v>
      </c>
    </row>
    <row r="309" spans="1:4" x14ac:dyDescent="0.25">
      <c r="A309" t="s">
        <v>796</v>
      </c>
      <c r="B309" t="s">
        <v>1758</v>
      </c>
      <c r="C309" t="s">
        <v>2035</v>
      </c>
      <c r="D309" t="s">
        <v>601</v>
      </c>
    </row>
    <row r="310" spans="1:4" x14ac:dyDescent="0.25">
      <c r="A310" t="s">
        <v>796</v>
      </c>
      <c r="B310" t="s">
        <v>1759</v>
      </c>
      <c r="C310" t="s">
        <v>2036</v>
      </c>
      <c r="D310" t="s">
        <v>601</v>
      </c>
    </row>
    <row r="311" spans="1:4" x14ac:dyDescent="0.25">
      <c r="A311" t="s">
        <v>796</v>
      </c>
      <c r="B311" t="s">
        <v>1760</v>
      </c>
      <c r="C311" t="s">
        <v>2037</v>
      </c>
      <c r="D311" t="s">
        <v>601</v>
      </c>
    </row>
    <row r="312" spans="1:4" x14ac:dyDescent="0.25">
      <c r="A312" t="s">
        <v>796</v>
      </c>
      <c r="B312" t="s">
        <v>1761</v>
      </c>
      <c r="C312" t="s">
        <v>2038</v>
      </c>
      <c r="D312" t="s">
        <v>601</v>
      </c>
    </row>
    <row r="313" spans="1:4" x14ac:dyDescent="0.25">
      <c r="A313" t="s">
        <v>796</v>
      </c>
      <c r="B313" t="s">
        <v>1762</v>
      </c>
      <c r="C313" t="s">
        <v>2039</v>
      </c>
      <c r="D313" t="s">
        <v>601</v>
      </c>
    </row>
    <row r="314" spans="1:4" x14ac:dyDescent="0.25">
      <c r="A314" t="s">
        <v>796</v>
      </c>
      <c r="B314" t="s">
        <v>1763</v>
      </c>
      <c r="C314" t="s">
        <v>2040</v>
      </c>
      <c r="D314" t="s">
        <v>601</v>
      </c>
    </row>
    <row r="315" spans="1:4" x14ac:dyDescent="0.25">
      <c r="A315" t="s">
        <v>796</v>
      </c>
      <c r="B315" t="s">
        <v>1764</v>
      </c>
      <c r="C315" t="s">
        <v>2041</v>
      </c>
      <c r="D315" t="s">
        <v>601</v>
      </c>
    </row>
    <row r="316" spans="1:4" x14ac:dyDescent="0.25">
      <c r="A316" t="s">
        <v>796</v>
      </c>
      <c r="B316" t="s">
        <v>1765</v>
      </c>
      <c r="C316" t="s">
        <v>2042</v>
      </c>
      <c r="D316" t="s">
        <v>601</v>
      </c>
    </row>
    <row r="317" spans="1:4" x14ac:dyDescent="0.25">
      <c r="A317" t="s">
        <v>796</v>
      </c>
      <c r="B317" t="s">
        <v>1766</v>
      </c>
      <c r="C317" t="s">
        <v>2043</v>
      </c>
      <c r="D317" t="s">
        <v>601</v>
      </c>
    </row>
    <row r="318" spans="1:4" x14ac:dyDescent="0.25">
      <c r="A318" t="s">
        <v>796</v>
      </c>
      <c r="B318" t="s">
        <v>1767</v>
      </c>
      <c r="C318" t="s">
        <v>2044</v>
      </c>
      <c r="D318" t="s">
        <v>601</v>
      </c>
    </row>
    <row r="319" spans="1:4" x14ac:dyDescent="0.25">
      <c r="A319" t="s">
        <v>796</v>
      </c>
      <c r="B319" t="s">
        <v>1768</v>
      </c>
      <c r="C319" t="s">
        <v>2045</v>
      </c>
      <c r="D319" t="s">
        <v>601</v>
      </c>
    </row>
    <row r="320" spans="1:4" x14ac:dyDescent="0.25">
      <c r="A320" t="s">
        <v>796</v>
      </c>
      <c r="B320" t="s">
        <v>1769</v>
      </c>
      <c r="C320" t="s">
        <v>2046</v>
      </c>
      <c r="D320" t="s">
        <v>601</v>
      </c>
    </row>
    <row r="321" spans="1:4" x14ac:dyDescent="0.25">
      <c r="A321" t="s">
        <v>796</v>
      </c>
      <c r="B321" t="s">
        <v>1770</v>
      </c>
      <c r="C321" t="s">
        <v>2047</v>
      </c>
      <c r="D321" t="s">
        <v>601</v>
      </c>
    </row>
    <row r="322" spans="1:4" x14ac:dyDescent="0.25">
      <c r="A322" t="s">
        <v>796</v>
      </c>
      <c r="B322" t="s">
        <v>1771</v>
      </c>
      <c r="C322" t="s">
        <v>2048</v>
      </c>
      <c r="D322" t="s">
        <v>601</v>
      </c>
    </row>
    <row r="323" spans="1:4" x14ac:dyDescent="0.25">
      <c r="A323" t="s">
        <v>796</v>
      </c>
      <c r="B323" t="s">
        <v>1772</v>
      </c>
      <c r="C323" t="s">
        <v>2049</v>
      </c>
      <c r="D323" t="s">
        <v>601</v>
      </c>
    </row>
    <row r="324" spans="1:4" x14ac:dyDescent="0.25">
      <c r="A324" t="s">
        <v>796</v>
      </c>
      <c r="B324" t="s">
        <v>1773</v>
      </c>
      <c r="C324" t="s">
        <v>2050</v>
      </c>
      <c r="D324" t="s">
        <v>601</v>
      </c>
    </row>
    <row r="325" spans="1:4" x14ac:dyDescent="0.25">
      <c r="A325" t="s">
        <v>796</v>
      </c>
      <c r="B325" t="s">
        <v>1774</v>
      </c>
      <c r="C325" t="s">
        <v>2051</v>
      </c>
      <c r="D325" t="s">
        <v>601</v>
      </c>
    </row>
    <row r="326" spans="1:4" x14ac:dyDescent="0.25">
      <c r="A326" t="s">
        <v>796</v>
      </c>
      <c r="B326" t="s">
        <v>1775</v>
      </c>
      <c r="C326" t="s">
        <v>2052</v>
      </c>
      <c r="D326" t="s">
        <v>601</v>
      </c>
    </row>
    <row r="327" spans="1:4" x14ac:dyDescent="0.25">
      <c r="A327" t="s">
        <v>796</v>
      </c>
      <c r="B327" t="s">
        <v>1776</v>
      </c>
      <c r="C327" t="s">
        <v>2053</v>
      </c>
      <c r="D327" t="s">
        <v>601</v>
      </c>
    </row>
    <row r="328" spans="1:4" x14ac:dyDescent="0.25">
      <c r="A328" t="s">
        <v>796</v>
      </c>
      <c r="B328" t="s">
        <v>1777</v>
      </c>
      <c r="C328" t="s">
        <v>2054</v>
      </c>
      <c r="D328" t="s">
        <v>601</v>
      </c>
    </row>
    <row r="329" spans="1:4" x14ac:dyDescent="0.25">
      <c r="A329" t="s">
        <v>796</v>
      </c>
      <c r="B329" t="s">
        <v>1778</v>
      </c>
      <c r="C329" t="s">
        <v>2055</v>
      </c>
      <c r="D329" t="s">
        <v>601</v>
      </c>
    </row>
    <row r="330" spans="1:4" x14ac:dyDescent="0.25">
      <c r="A330" t="s">
        <v>796</v>
      </c>
      <c r="B330" t="s">
        <v>1779</v>
      </c>
      <c r="C330" t="s">
        <v>2056</v>
      </c>
      <c r="D330" t="s">
        <v>601</v>
      </c>
    </row>
    <row r="331" spans="1:4" x14ac:dyDescent="0.25">
      <c r="A331" t="s">
        <v>796</v>
      </c>
      <c r="B331" t="s">
        <v>1780</v>
      </c>
      <c r="C331" t="s">
        <v>2057</v>
      </c>
      <c r="D331" t="s">
        <v>601</v>
      </c>
    </row>
    <row r="332" spans="1:4" x14ac:dyDescent="0.25">
      <c r="A332" t="s">
        <v>796</v>
      </c>
      <c r="B332" t="s">
        <v>1781</v>
      </c>
      <c r="C332" t="s">
        <v>2058</v>
      </c>
      <c r="D332" t="s">
        <v>601</v>
      </c>
    </row>
    <row r="333" spans="1:4" x14ac:dyDescent="0.25">
      <c r="A333" t="s">
        <v>796</v>
      </c>
      <c r="B333" t="s">
        <v>1782</v>
      </c>
      <c r="C333" t="s">
        <v>2059</v>
      </c>
      <c r="D333" t="s">
        <v>601</v>
      </c>
    </row>
    <row r="334" spans="1:4" x14ac:dyDescent="0.25">
      <c r="A334" t="s">
        <v>796</v>
      </c>
      <c r="B334" t="s">
        <v>1783</v>
      </c>
      <c r="C334" t="s">
        <v>2060</v>
      </c>
      <c r="D334" t="s">
        <v>601</v>
      </c>
    </row>
    <row r="335" spans="1:4" x14ac:dyDescent="0.25">
      <c r="A335" t="s">
        <v>796</v>
      </c>
      <c r="B335" t="s">
        <v>1784</v>
      </c>
      <c r="C335" t="s">
        <v>2061</v>
      </c>
      <c r="D335" t="s">
        <v>601</v>
      </c>
    </row>
    <row r="336" spans="1:4" x14ac:dyDescent="0.25">
      <c r="A336" t="s">
        <v>796</v>
      </c>
      <c r="B336" t="s">
        <v>1785</v>
      </c>
      <c r="C336" t="s">
        <v>2062</v>
      </c>
      <c r="D336" t="s">
        <v>601</v>
      </c>
    </row>
    <row r="337" spans="1:4" x14ac:dyDescent="0.25">
      <c r="A337" t="s">
        <v>796</v>
      </c>
      <c r="B337" t="s">
        <v>1786</v>
      </c>
      <c r="C337" t="s">
        <v>2063</v>
      </c>
      <c r="D337" t="s">
        <v>601</v>
      </c>
    </row>
    <row r="338" spans="1:4" x14ac:dyDescent="0.25">
      <c r="A338" t="s">
        <v>796</v>
      </c>
      <c r="B338" t="s">
        <v>1787</v>
      </c>
      <c r="C338" t="s">
        <v>2064</v>
      </c>
      <c r="D338" t="s">
        <v>601</v>
      </c>
    </row>
    <row r="339" spans="1:4" x14ac:dyDescent="0.25">
      <c r="A339" t="s">
        <v>796</v>
      </c>
      <c r="B339" t="s">
        <v>1788</v>
      </c>
      <c r="C339" t="s">
        <v>2065</v>
      </c>
      <c r="D339" t="s">
        <v>601</v>
      </c>
    </row>
    <row r="340" spans="1:4" x14ac:dyDescent="0.25">
      <c r="A340" t="s">
        <v>796</v>
      </c>
      <c r="B340" t="s">
        <v>1789</v>
      </c>
      <c r="C340" t="s">
        <v>2066</v>
      </c>
      <c r="D340" t="s">
        <v>601</v>
      </c>
    </row>
    <row r="341" spans="1:4" x14ac:dyDescent="0.25">
      <c r="A341" t="s">
        <v>796</v>
      </c>
      <c r="B341" t="s">
        <v>1790</v>
      </c>
      <c r="C341" t="s">
        <v>2067</v>
      </c>
      <c r="D341" t="s">
        <v>601</v>
      </c>
    </row>
    <row r="342" spans="1:4" x14ac:dyDescent="0.25">
      <c r="A342" t="s">
        <v>796</v>
      </c>
      <c r="B342" t="s">
        <v>1791</v>
      </c>
      <c r="C342" t="s">
        <v>2068</v>
      </c>
      <c r="D342" t="s">
        <v>601</v>
      </c>
    </row>
    <row r="343" spans="1:4" x14ac:dyDescent="0.25">
      <c r="A343" t="s">
        <v>796</v>
      </c>
      <c r="B343" t="s">
        <v>1792</v>
      </c>
      <c r="C343" t="s">
        <v>2069</v>
      </c>
      <c r="D343" t="s">
        <v>601</v>
      </c>
    </row>
    <row r="344" spans="1:4" x14ac:dyDescent="0.25">
      <c r="A344" t="s">
        <v>796</v>
      </c>
      <c r="B344" t="s">
        <v>1793</v>
      </c>
      <c r="C344" t="s">
        <v>2070</v>
      </c>
      <c r="D344" t="s">
        <v>601</v>
      </c>
    </row>
    <row r="345" spans="1:4" x14ac:dyDescent="0.25">
      <c r="A345" t="s">
        <v>796</v>
      </c>
      <c r="B345" t="s">
        <v>1794</v>
      </c>
      <c r="C345" t="s">
        <v>2071</v>
      </c>
      <c r="D345" t="s">
        <v>601</v>
      </c>
    </row>
    <row r="346" spans="1:4" x14ac:dyDescent="0.25">
      <c r="A346" t="s">
        <v>796</v>
      </c>
      <c r="B346" t="s">
        <v>1795</v>
      </c>
      <c r="C346" t="s">
        <v>2072</v>
      </c>
      <c r="D346" t="s">
        <v>601</v>
      </c>
    </row>
    <row r="347" spans="1:4" x14ac:dyDescent="0.25">
      <c r="A347" t="s">
        <v>796</v>
      </c>
      <c r="B347" t="s">
        <v>1796</v>
      </c>
      <c r="C347" t="s">
        <v>2073</v>
      </c>
      <c r="D347" t="s">
        <v>601</v>
      </c>
    </row>
    <row r="348" spans="1:4" x14ac:dyDescent="0.25">
      <c r="A348" t="s">
        <v>796</v>
      </c>
      <c r="B348" t="s">
        <v>1797</v>
      </c>
      <c r="C348" t="s">
        <v>2074</v>
      </c>
      <c r="D348" t="s">
        <v>601</v>
      </c>
    </row>
    <row r="349" spans="1:4" x14ac:dyDescent="0.25">
      <c r="A349" t="s">
        <v>796</v>
      </c>
      <c r="B349" t="s">
        <v>1798</v>
      </c>
      <c r="C349" t="s">
        <v>2075</v>
      </c>
      <c r="D349" t="s">
        <v>601</v>
      </c>
    </row>
    <row r="350" spans="1:4" x14ac:dyDescent="0.25">
      <c r="A350" t="s">
        <v>796</v>
      </c>
      <c r="B350" t="s">
        <v>1799</v>
      </c>
      <c r="C350" t="s">
        <v>2076</v>
      </c>
      <c r="D350" t="s">
        <v>601</v>
      </c>
    </row>
    <row r="351" spans="1:4" x14ac:dyDescent="0.25">
      <c r="A351" t="s">
        <v>796</v>
      </c>
      <c r="B351" t="s">
        <v>1800</v>
      </c>
      <c r="C351" t="s">
        <v>2077</v>
      </c>
      <c r="D351" t="s">
        <v>601</v>
      </c>
    </row>
    <row r="352" spans="1:4" x14ac:dyDescent="0.25">
      <c r="A352" t="s">
        <v>796</v>
      </c>
      <c r="B352" t="s">
        <v>1801</v>
      </c>
      <c r="C352" t="s">
        <v>2078</v>
      </c>
      <c r="D352" t="s">
        <v>601</v>
      </c>
    </row>
    <row r="353" spans="1:4" x14ac:dyDescent="0.25">
      <c r="A353" t="s">
        <v>796</v>
      </c>
      <c r="B353" t="s">
        <v>1802</v>
      </c>
      <c r="C353" t="s">
        <v>2079</v>
      </c>
      <c r="D353" t="s">
        <v>601</v>
      </c>
    </row>
    <row r="354" spans="1:4" x14ac:dyDescent="0.25">
      <c r="A354" t="s">
        <v>796</v>
      </c>
      <c r="B354" t="s">
        <v>1803</v>
      </c>
      <c r="C354" t="s">
        <v>2080</v>
      </c>
      <c r="D354" t="s">
        <v>601</v>
      </c>
    </row>
    <row r="355" spans="1:4" x14ac:dyDescent="0.25">
      <c r="A355" t="s">
        <v>796</v>
      </c>
      <c r="B355" t="s">
        <v>1804</v>
      </c>
      <c r="C355" t="s">
        <v>2081</v>
      </c>
      <c r="D355" t="s">
        <v>601</v>
      </c>
    </row>
    <row r="356" spans="1:4" x14ac:dyDescent="0.25">
      <c r="A356" t="s">
        <v>796</v>
      </c>
      <c r="B356" t="s">
        <v>1805</v>
      </c>
      <c r="C356" t="s">
        <v>2082</v>
      </c>
      <c r="D356" t="s">
        <v>601</v>
      </c>
    </row>
    <row r="357" spans="1:4" x14ac:dyDescent="0.25">
      <c r="A357" t="s">
        <v>796</v>
      </c>
      <c r="B357" t="s">
        <v>1806</v>
      </c>
      <c r="C357" t="s">
        <v>2083</v>
      </c>
      <c r="D357" t="s">
        <v>601</v>
      </c>
    </row>
    <row r="358" spans="1:4" x14ac:dyDescent="0.25">
      <c r="A358" t="s">
        <v>796</v>
      </c>
      <c r="B358" t="s">
        <v>1807</v>
      </c>
      <c r="C358" t="s">
        <v>2084</v>
      </c>
      <c r="D358" t="s">
        <v>601</v>
      </c>
    </row>
    <row r="359" spans="1:4" x14ac:dyDescent="0.25">
      <c r="A359" t="s">
        <v>796</v>
      </c>
      <c r="B359" t="s">
        <v>1808</v>
      </c>
      <c r="C359" t="s">
        <v>2085</v>
      </c>
      <c r="D359" t="s">
        <v>601</v>
      </c>
    </row>
    <row r="360" spans="1:4" x14ac:dyDescent="0.25">
      <c r="A360" t="s">
        <v>796</v>
      </c>
      <c r="B360" t="s">
        <v>1809</v>
      </c>
      <c r="C360" t="s">
        <v>2086</v>
      </c>
      <c r="D360" t="s">
        <v>601</v>
      </c>
    </row>
    <row r="361" spans="1:4" x14ac:dyDescent="0.25">
      <c r="A361" t="s">
        <v>796</v>
      </c>
      <c r="B361" t="s">
        <v>1810</v>
      </c>
      <c r="C361" t="s">
        <v>2087</v>
      </c>
      <c r="D361" t="s">
        <v>601</v>
      </c>
    </row>
    <row r="362" spans="1:4" x14ac:dyDescent="0.25">
      <c r="A362" t="s">
        <v>796</v>
      </c>
      <c r="B362" t="s">
        <v>1811</v>
      </c>
      <c r="C362" t="s">
        <v>2088</v>
      </c>
      <c r="D362" t="s">
        <v>601</v>
      </c>
    </row>
    <row r="363" spans="1:4" x14ac:dyDescent="0.25">
      <c r="A363" t="s">
        <v>796</v>
      </c>
      <c r="B363" t="s">
        <v>1812</v>
      </c>
      <c r="C363" t="s">
        <v>2089</v>
      </c>
      <c r="D363" t="s">
        <v>601</v>
      </c>
    </row>
    <row r="364" spans="1:4" x14ac:dyDescent="0.25">
      <c r="A364" t="s">
        <v>796</v>
      </c>
      <c r="B364" t="s">
        <v>1813</v>
      </c>
      <c r="C364" t="s">
        <v>2090</v>
      </c>
      <c r="D364" t="s">
        <v>601</v>
      </c>
    </row>
    <row r="365" spans="1:4" x14ac:dyDescent="0.25">
      <c r="A365" t="s">
        <v>796</v>
      </c>
      <c r="B365" t="s">
        <v>1814</v>
      </c>
      <c r="C365" t="s">
        <v>2091</v>
      </c>
      <c r="D365" t="s">
        <v>601</v>
      </c>
    </row>
    <row r="366" spans="1:4" x14ac:dyDescent="0.25">
      <c r="A366" t="s">
        <v>796</v>
      </c>
      <c r="B366" t="s">
        <v>1815</v>
      </c>
      <c r="C366" t="s">
        <v>2092</v>
      </c>
      <c r="D366" t="s">
        <v>601</v>
      </c>
    </row>
    <row r="367" spans="1:4" x14ac:dyDescent="0.25">
      <c r="A367" t="s">
        <v>796</v>
      </c>
      <c r="B367" t="s">
        <v>1816</v>
      </c>
      <c r="C367" t="s">
        <v>2093</v>
      </c>
      <c r="D367" t="s">
        <v>601</v>
      </c>
    </row>
    <row r="368" spans="1:4" x14ac:dyDescent="0.25">
      <c r="A368" t="s">
        <v>796</v>
      </c>
      <c r="B368" t="s">
        <v>1817</v>
      </c>
      <c r="C368" t="s">
        <v>2094</v>
      </c>
      <c r="D368" t="s">
        <v>601</v>
      </c>
    </row>
    <row r="369" spans="1:4" x14ac:dyDescent="0.25">
      <c r="A369" t="s">
        <v>796</v>
      </c>
      <c r="B369" t="s">
        <v>1818</v>
      </c>
      <c r="C369" t="s">
        <v>2095</v>
      </c>
      <c r="D369" t="s">
        <v>601</v>
      </c>
    </row>
    <row r="370" spans="1:4" x14ac:dyDescent="0.25">
      <c r="A370" t="s">
        <v>796</v>
      </c>
      <c r="B370" t="s">
        <v>1819</v>
      </c>
      <c r="C370" t="s">
        <v>2096</v>
      </c>
      <c r="D370" t="s">
        <v>601</v>
      </c>
    </row>
    <row r="371" spans="1:4" x14ac:dyDescent="0.25">
      <c r="A371" t="s">
        <v>796</v>
      </c>
      <c r="B371" t="s">
        <v>1820</v>
      </c>
      <c r="C371" t="s">
        <v>2097</v>
      </c>
      <c r="D371" t="s">
        <v>601</v>
      </c>
    </row>
    <row r="372" spans="1:4" x14ac:dyDescent="0.25">
      <c r="A372" t="s">
        <v>796</v>
      </c>
      <c r="B372" t="s">
        <v>1821</v>
      </c>
      <c r="C372" t="s">
        <v>2098</v>
      </c>
      <c r="D372" t="s">
        <v>601</v>
      </c>
    </row>
    <row r="373" spans="1:4" x14ac:dyDescent="0.25">
      <c r="A373" t="s">
        <v>796</v>
      </c>
      <c r="B373" t="s">
        <v>1822</v>
      </c>
      <c r="C373" t="s">
        <v>2099</v>
      </c>
      <c r="D373" t="s">
        <v>601</v>
      </c>
    </row>
    <row r="374" spans="1:4" x14ac:dyDescent="0.25">
      <c r="A374" t="s">
        <v>796</v>
      </c>
      <c r="B374" t="s">
        <v>1823</v>
      </c>
      <c r="C374" t="s">
        <v>2100</v>
      </c>
      <c r="D374" t="s">
        <v>601</v>
      </c>
    </row>
    <row r="375" spans="1:4" x14ac:dyDescent="0.25">
      <c r="A375" t="s">
        <v>796</v>
      </c>
      <c r="B375" t="s">
        <v>1824</v>
      </c>
      <c r="C375" t="s">
        <v>2101</v>
      </c>
      <c r="D375" t="s">
        <v>601</v>
      </c>
    </row>
    <row r="376" spans="1:4" x14ac:dyDescent="0.25">
      <c r="A376" t="s">
        <v>796</v>
      </c>
      <c r="B376" t="s">
        <v>1825</v>
      </c>
      <c r="C376" t="s">
        <v>2102</v>
      </c>
      <c r="D376" t="s">
        <v>601</v>
      </c>
    </row>
    <row r="377" spans="1:4" x14ac:dyDescent="0.25">
      <c r="A377" t="s">
        <v>796</v>
      </c>
      <c r="B377" t="s">
        <v>1826</v>
      </c>
      <c r="C377" t="s">
        <v>2103</v>
      </c>
      <c r="D377" t="s">
        <v>601</v>
      </c>
    </row>
    <row r="378" spans="1:4" x14ac:dyDescent="0.25">
      <c r="A378" t="s">
        <v>796</v>
      </c>
      <c r="B378" t="s">
        <v>1827</v>
      </c>
      <c r="C378" t="s">
        <v>2104</v>
      </c>
      <c r="D378" t="s">
        <v>601</v>
      </c>
    </row>
    <row r="379" spans="1:4" x14ac:dyDescent="0.25">
      <c r="A379" t="s">
        <v>796</v>
      </c>
      <c r="B379" t="s">
        <v>1828</v>
      </c>
      <c r="C379" t="s">
        <v>2105</v>
      </c>
      <c r="D379" t="s">
        <v>601</v>
      </c>
    </row>
    <row r="380" spans="1:4" x14ac:dyDescent="0.25">
      <c r="A380" t="s">
        <v>796</v>
      </c>
      <c r="B380" t="s">
        <v>1829</v>
      </c>
      <c r="C380" t="s">
        <v>2106</v>
      </c>
      <c r="D380" t="s">
        <v>601</v>
      </c>
    </row>
    <row r="381" spans="1:4" x14ac:dyDescent="0.25">
      <c r="A381" t="s">
        <v>796</v>
      </c>
      <c r="B381" t="s">
        <v>1830</v>
      </c>
      <c r="C381" t="s">
        <v>2107</v>
      </c>
      <c r="D381" t="s">
        <v>601</v>
      </c>
    </row>
    <row r="382" spans="1:4" x14ac:dyDescent="0.25">
      <c r="A382" t="s">
        <v>796</v>
      </c>
      <c r="B382" t="s">
        <v>1831</v>
      </c>
      <c r="C382" t="s">
        <v>2108</v>
      </c>
      <c r="D382" t="s">
        <v>601</v>
      </c>
    </row>
    <row r="383" spans="1:4" x14ac:dyDescent="0.25">
      <c r="A383" t="s">
        <v>796</v>
      </c>
      <c r="B383" t="s">
        <v>1832</v>
      </c>
      <c r="C383" t="s">
        <v>2109</v>
      </c>
      <c r="D383" t="s">
        <v>601</v>
      </c>
    </row>
    <row r="384" spans="1:4" x14ac:dyDescent="0.25">
      <c r="A384" t="s">
        <v>796</v>
      </c>
      <c r="B384" t="s">
        <v>1833</v>
      </c>
      <c r="C384" t="s">
        <v>2110</v>
      </c>
      <c r="D384" t="s">
        <v>601</v>
      </c>
    </row>
    <row r="385" spans="1:4" x14ac:dyDescent="0.25">
      <c r="A385" t="s">
        <v>796</v>
      </c>
      <c r="B385" t="s">
        <v>1834</v>
      </c>
      <c r="C385" t="s">
        <v>2111</v>
      </c>
      <c r="D385" t="s">
        <v>601</v>
      </c>
    </row>
    <row r="386" spans="1:4" x14ac:dyDescent="0.25">
      <c r="A386" t="s">
        <v>796</v>
      </c>
      <c r="B386" t="s">
        <v>1835</v>
      </c>
      <c r="C386" t="s">
        <v>2112</v>
      </c>
      <c r="D386" t="s">
        <v>601</v>
      </c>
    </row>
    <row r="387" spans="1:4" x14ac:dyDescent="0.25">
      <c r="A387" t="s">
        <v>796</v>
      </c>
      <c r="B387" t="s">
        <v>1836</v>
      </c>
      <c r="C387" t="s">
        <v>2113</v>
      </c>
      <c r="D387" t="s">
        <v>601</v>
      </c>
    </row>
    <row r="388" spans="1:4" x14ac:dyDescent="0.25">
      <c r="A388" t="s">
        <v>796</v>
      </c>
      <c r="B388" t="s">
        <v>1837</v>
      </c>
      <c r="C388" t="s">
        <v>2114</v>
      </c>
      <c r="D388" t="s">
        <v>601</v>
      </c>
    </row>
    <row r="389" spans="1:4" x14ac:dyDescent="0.25">
      <c r="A389" t="s">
        <v>796</v>
      </c>
      <c r="B389" t="s">
        <v>1838</v>
      </c>
      <c r="C389" t="s">
        <v>2115</v>
      </c>
      <c r="D389" t="s">
        <v>601</v>
      </c>
    </row>
    <row r="390" spans="1:4" x14ac:dyDescent="0.25">
      <c r="A390" t="s">
        <v>796</v>
      </c>
      <c r="B390" t="s">
        <v>1839</v>
      </c>
      <c r="C390" t="s">
        <v>2116</v>
      </c>
      <c r="D390" t="s">
        <v>601</v>
      </c>
    </row>
    <row r="391" spans="1:4" x14ac:dyDescent="0.25">
      <c r="A391" t="s">
        <v>796</v>
      </c>
      <c r="B391" t="s">
        <v>1840</v>
      </c>
      <c r="C391" t="s">
        <v>2117</v>
      </c>
      <c r="D391" t="s">
        <v>601</v>
      </c>
    </row>
    <row r="392" spans="1:4" x14ac:dyDescent="0.25">
      <c r="A392" t="s">
        <v>796</v>
      </c>
      <c r="B392" t="s">
        <v>1841</v>
      </c>
      <c r="C392" t="s">
        <v>2118</v>
      </c>
      <c r="D392" t="s">
        <v>601</v>
      </c>
    </row>
    <row r="393" spans="1:4" x14ac:dyDescent="0.25">
      <c r="A393" t="s">
        <v>796</v>
      </c>
      <c r="B393" t="s">
        <v>1842</v>
      </c>
      <c r="C393" t="s">
        <v>2119</v>
      </c>
      <c r="D393" t="s">
        <v>601</v>
      </c>
    </row>
    <row r="394" spans="1:4" x14ac:dyDescent="0.25">
      <c r="A394" t="s">
        <v>796</v>
      </c>
      <c r="B394" t="s">
        <v>1843</v>
      </c>
      <c r="C394" t="s">
        <v>2120</v>
      </c>
      <c r="D394" t="s">
        <v>601</v>
      </c>
    </row>
    <row r="395" spans="1:4" x14ac:dyDescent="0.25">
      <c r="A395" t="s">
        <v>796</v>
      </c>
      <c r="B395" t="s">
        <v>1844</v>
      </c>
      <c r="C395" t="s">
        <v>2121</v>
      </c>
      <c r="D395" t="s">
        <v>601</v>
      </c>
    </row>
    <row r="396" spans="1:4" x14ac:dyDescent="0.25">
      <c r="A396" t="s">
        <v>796</v>
      </c>
      <c r="B396" t="s">
        <v>1845</v>
      </c>
      <c r="C396" t="s">
        <v>2122</v>
      </c>
      <c r="D396" t="s">
        <v>601</v>
      </c>
    </row>
    <row r="397" spans="1:4" x14ac:dyDescent="0.25">
      <c r="A397" t="s">
        <v>796</v>
      </c>
      <c r="B397" t="s">
        <v>1846</v>
      </c>
      <c r="C397" t="s">
        <v>2123</v>
      </c>
      <c r="D397" t="s">
        <v>601</v>
      </c>
    </row>
    <row r="398" spans="1:4" x14ac:dyDescent="0.25">
      <c r="A398" t="s">
        <v>796</v>
      </c>
      <c r="B398" t="s">
        <v>1847</v>
      </c>
      <c r="C398" t="s">
        <v>2124</v>
      </c>
      <c r="D398" t="s">
        <v>601</v>
      </c>
    </row>
    <row r="399" spans="1:4" x14ac:dyDescent="0.25">
      <c r="A399" t="s">
        <v>796</v>
      </c>
      <c r="B399" t="s">
        <v>1848</v>
      </c>
      <c r="C399" t="s">
        <v>2125</v>
      </c>
      <c r="D399" t="s">
        <v>601</v>
      </c>
    </row>
    <row r="400" spans="1:4" x14ac:dyDescent="0.25">
      <c r="A400" t="s">
        <v>796</v>
      </c>
      <c r="B400" t="s">
        <v>1849</v>
      </c>
      <c r="C400" t="s">
        <v>2126</v>
      </c>
      <c r="D400" t="s">
        <v>601</v>
      </c>
    </row>
    <row r="401" spans="1:4" x14ac:dyDescent="0.25">
      <c r="A401" t="s">
        <v>796</v>
      </c>
      <c r="B401" t="s">
        <v>1850</v>
      </c>
      <c r="C401" t="s">
        <v>2127</v>
      </c>
      <c r="D401" t="s">
        <v>601</v>
      </c>
    </row>
    <row r="402" spans="1:4" x14ac:dyDescent="0.25">
      <c r="A402" t="s">
        <v>796</v>
      </c>
      <c r="B402" t="s">
        <v>1851</v>
      </c>
      <c r="C402" t="s">
        <v>2128</v>
      </c>
      <c r="D402" t="s">
        <v>601</v>
      </c>
    </row>
    <row r="403" spans="1:4" x14ac:dyDescent="0.25">
      <c r="A403" t="s">
        <v>796</v>
      </c>
      <c r="B403" t="s">
        <v>1852</v>
      </c>
      <c r="C403" t="s">
        <v>2129</v>
      </c>
      <c r="D403" t="s">
        <v>601</v>
      </c>
    </row>
    <row r="404" spans="1:4" x14ac:dyDescent="0.25">
      <c r="A404" t="s">
        <v>796</v>
      </c>
      <c r="B404" t="s">
        <v>1853</v>
      </c>
      <c r="C404" t="s">
        <v>2130</v>
      </c>
      <c r="D404" t="s">
        <v>601</v>
      </c>
    </row>
    <row r="405" spans="1:4" x14ac:dyDescent="0.25">
      <c r="A405" t="s">
        <v>796</v>
      </c>
      <c r="B405" t="s">
        <v>1854</v>
      </c>
      <c r="C405" t="s">
        <v>2131</v>
      </c>
      <c r="D405" t="s">
        <v>601</v>
      </c>
    </row>
    <row r="406" spans="1:4" x14ac:dyDescent="0.25">
      <c r="A406" t="s">
        <v>796</v>
      </c>
      <c r="B406" t="s">
        <v>1855</v>
      </c>
      <c r="C406" t="s">
        <v>2132</v>
      </c>
      <c r="D406" t="s">
        <v>601</v>
      </c>
    </row>
    <row r="407" spans="1:4" x14ac:dyDescent="0.25">
      <c r="A407" t="s">
        <v>796</v>
      </c>
      <c r="B407" t="s">
        <v>1856</v>
      </c>
      <c r="C407" t="s">
        <v>2133</v>
      </c>
      <c r="D407" t="s">
        <v>601</v>
      </c>
    </row>
    <row r="408" spans="1:4" x14ac:dyDescent="0.25">
      <c r="A408" t="s">
        <v>796</v>
      </c>
      <c r="B408" t="s">
        <v>1857</v>
      </c>
      <c r="C408" t="s">
        <v>2134</v>
      </c>
      <c r="D408" t="s">
        <v>601</v>
      </c>
    </row>
    <row r="409" spans="1:4" x14ac:dyDescent="0.25">
      <c r="A409" t="s">
        <v>796</v>
      </c>
      <c r="B409" t="s">
        <v>1858</v>
      </c>
      <c r="C409" t="s">
        <v>2135</v>
      </c>
      <c r="D409" t="s">
        <v>601</v>
      </c>
    </row>
    <row r="410" spans="1:4" x14ac:dyDescent="0.25">
      <c r="A410" t="s">
        <v>796</v>
      </c>
      <c r="B410" t="s">
        <v>1859</v>
      </c>
      <c r="C410" t="s">
        <v>2136</v>
      </c>
      <c r="D410" t="s">
        <v>601</v>
      </c>
    </row>
    <row r="411" spans="1:4" x14ac:dyDescent="0.25">
      <c r="A411" t="s">
        <v>796</v>
      </c>
      <c r="B411" t="s">
        <v>1860</v>
      </c>
      <c r="C411" t="s">
        <v>2137</v>
      </c>
      <c r="D411" t="s">
        <v>601</v>
      </c>
    </row>
    <row r="412" spans="1:4" x14ac:dyDescent="0.25">
      <c r="A412" t="s">
        <v>796</v>
      </c>
      <c r="B412" t="s">
        <v>1861</v>
      </c>
      <c r="C412" t="s">
        <v>2138</v>
      </c>
      <c r="D412" t="s">
        <v>601</v>
      </c>
    </row>
    <row r="413" spans="1:4" x14ac:dyDescent="0.25">
      <c r="A413" t="s">
        <v>796</v>
      </c>
      <c r="B413" t="s">
        <v>1862</v>
      </c>
      <c r="C413" t="s">
        <v>2139</v>
      </c>
      <c r="D413" t="s">
        <v>601</v>
      </c>
    </row>
    <row r="414" spans="1:4" x14ac:dyDescent="0.25">
      <c r="A414" t="s">
        <v>796</v>
      </c>
      <c r="B414" t="s">
        <v>1863</v>
      </c>
      <c r="C414" t="s">
        <v>2140</v>
      </c>
      <c r="D414" t="s">
        <v>601</v>
      </c>
    </row>
    <row r="415" spans="1:4" x14ac:dyDescent="0.25">
      <c r="A415" t="s">
        <v>796</v>
      </c>
      <c r="B415" t="s">
        <v>1864</v>
      </c>
      <c r="C415" t="s">
        <v>2141</v>
      </c>
      <c r="D415" t="s">
        <v>601</v>
      </c>
    </row>
    <row r="416" spans="1:4" x14ac:dyDescent="0.25">
      <c r="A416" t="s">
        <v>796</v>
      </c>
      <c r="B416" t="s">
        <v>1865</v>
      </c>
      <c r="C416" t="s">
        <v>2142</v>
      </c>
      <c r="D416" t="s">
        <v>601</v>
      </c>
    </row>
    <row r="417" spans="1:4" x14ac:dyDescent="0.25">
      <c r="A417" t="s">
        <v>796</v>
      </c>
      <c r="B417" t="s">
        <v>1866</v>
      </c>
      <c r="C417" t="s">
        <v>2143</v>
      </c>
      <c r="D417" t="s">
        <v>601</v>
      </c>
    </row>
    <row r="418" spans="1:4" x14ac:dyDescent="0.25">
      <c r="A418" t="s">
        <v>796</v>
      </c>
      <c r="B418" t="s">
        <v>1867</v>
      </c>
      <c r="C418" t="s">
        <v>2144</v>
      </c>
      <c r="D418" t="s">
        <v>601</v>
      </c>
    </row>
    <row r="419" spans="1:4" x14ac:dyDescent="0.25">
      <c r="A419" t="s">
        <v>796</v>
      </c>
      <c r="B419" t="s">
        <v>1868</v>
      </c>
      <c r="C419" t="s">
        <v>2145</v>
      </c>
      <c r="D419" t="s">
        <v>601</v>
      </c>
    </row>
    <row r="420" spans="1:4" x14ac:dyDescent="0.25">
      <c r="A420" t="s">
        <v>796</v>
      </c>
      <c r="B420" t="s">
        <v>1869</v>
      </c>
      <c r="C420" t="s">
        <v>2146</v>
      </c>
      <c r="D420" t="s">
        <v>601</v>
      </c>
    </row>
    <row r="421" spans="1:4" x14ac:dyDescent="0.25">
      <c r="A421" t="s">
        <v>796</v>
      </c>
      <c r="B421" t="s">
        <v>1870</v>
      </c>
      <c r="C421" t="s">
        <v>2147</v>
      </c>
      <c r="D421" t="s">
        <v>601</v>
      </c>
    </row>
    <row r="422" spans="1:4" x14ac:dyDescent="0.25">
      <c r="A422" t="s">
        <v>796</v>
      </c>
      <c r="B422" t="s">
        <v>1871</v>
      </c>
      <c r="C422" t="s">
        <v>2148</v>
      </c>
      <c r="D422" t="s">
        <v>601</v>
      </c>
    </row>
    <row r="423" spans="1:4" x14ac:dyDescent="0.25">
      <c r="A423" t="s">
        <v>796</v>
      </c>
      <c r="B423" t="s">
        <v>1872</v>
      </c>
      <c r="C423" t="s">
        <v>2149</v>
      </c>
      <c r="D423" t="s">
        <v>601</v>
      </c>
    </row>
    <row r="424" spans="1:4" x14ac:dyDescent="0.25">
      <c r="A424" t="s">
        <v>796</v>
      </c>
      <c r="B424" t="s">
        <v>1873</v>
      </c>
      <c r="C424" t="s">
        <v>2150</v>
      </c>
      <c r="D424" t="s">
        <v>601</v>
      </c>
    </row>
    <row r="425" spans="1:4" x14ac:dyDescent="0.25">
      <c r="A425" t="s">
        <v>796</v>
      </c>
      <c r="B425" t="s">
        <v>1874</v>
      </c>
      <c r="C425" t="s">
        <v>2151</v>
      </c>
      <c r="D425" t="s">
        <v>601</v>
      </c>
    </row>
    <row r="426" spans="1:4" x14ac:dyDescent="0.25">
      <c r="A426" t="s">
        <v>796</v>
      </c>
      <c r="B426" t="s">
        <v>1875</v>
      </c>
      <c r="C426" t="s">
        <v>2152</v>
      </c>
      <c r="D426" t="s">
        <v>601</v>
      </c>
    </row>
    <row r="427" spans="1:4" x14ac:dyDescent="0.25">
      <c r="A427" t="s">
        <v>796</v>
      </c>
      <c r="B427" t="s">
        <v>1876</v>
      </c>
      <c r="C427" t="s">
        <v>2153</v>
      </c>
      <c r="D427" t="s">
        <v>601</v>
      </c>
    </row>
    <row r="428" spans="1:4" x14ac:dyDescent="0.25">
      <c r="A428" t="s">
        <v>796</v>
      </c>
      <c r="B428" t="s">
        <v>1877</v>
      </c>
      <c r="C428" t="s">
        <v>2154</v>
      </c>
      <c r="D428" t="s">
        <v>601</v>
      </c>
    </row>
    <row r="429" spans="1:4" x14ac:dyDescent="0.25">
      <c r="A429" t="s">
        <v>796</v>
      </c>
      <c r="B429" t="s">
        <v>1878</v>
      </c>
      <c r="C429" t="s">
        <v>2155</v>
      </c>
      <c r="D429" t="s">
        <v>601</v>
      </c>
    </row>
    <row r="430" spans="1:4" x14ac:dyDescent="0.25">
      <c r="A430" t="s">
        <v>796</v>
      </c>
      <c r="B430" t="s">
        <v>1879</v>
      </c>
      <c r="C430" t="s">
        <v>2156</v>
      </c>
      <c r="D430" t="s">
        <v>601</v>
      </c>
    </row>
    <row r="431" spans="1:4" x14ac:dyDescent="0.25">
      <c r="A431" t="s">
        <v>796</v>
      </c>
      <c r="B431" t="s">
        <v>1880</v>
      </c>
      <c r="C431" t="s">
        <v>2157</v>
      </c>
      <c r="D431" t="s">
        <v>601</v>
      </c>
    </row>
    <row r="432" spans="1:4" x14ac:dyDescent="0.25">
      <c r="A432" t="s">
        <v>796</v>
      </c>
      <c r="B432" t="s">
        <v>1881</v>
      </c>
      <c r="C432" t="s">
        <v>2158</v>
      </c>
      <c r="D432" t="s">
        <v>601</v>
      </c>
    </row>
    <row r="433" spans="1:4" x14ac:dyDescent="0.25">
      <c r="A433" t="s">
        <v>796</v>
      </c>
      <c r="B433" t="s">
        <v>1882</v>
      </c>
      <c r="C433" t="s">
        <v>2159</v>
      </c>
      <c r="D433" t="s">
        <v>601</v>
      </c>
    </row>
    <row r="434" spans="1:4" x14ac:dyDescent="0.25">
      <c r="A434" t="s">
        <v>796</v>
      </c>
      <c r="B434" t="s">
        <v>1883</v>
      </c>
      <c r="C434" t="s">
        <v>2160</v>
      </c>
      <c r="D434" t="s">
        <v>601</v>
      </c>
    </row>
    <row r="435" spans="1:4" x14ac:dyDescent="0.25">
      <c r="A435" t="s">
        <v>796</v>
      </c>
      <c r="B435" t="s">
        <v>1884</v>
      </c>
      <c r="C435" t="s">
        <v>2248</v>
      </c>
      <c r="D435" t="s">
        <v>601</v>
      </c>
    </row>
    <row r="436" spans="1:4" x14ac:dyDescent="0.25">
      <c r="A436" t="s">
        <v>796</v>
      </c>
      <c r="B436" t="s">
        <v>1885</v>
      </c>
      <c r="C436" t="s">
        <v>2161</v>
      </c>
      <c r="D436" t="s">
        <v>601</v>
      </c>
    </row>
    <row r="437" spans="1:4" x14ac:dyDescent="0.25">
      <c r="A437" t="s">
        <v>796</v>
      </c>
      <c r="B437" t="s">
        <v>1886</v>
      </c>
      <c r="C437" t="s">
        <v>2162</v>
      </c>
      <c r="D437" t="s">
        <v>601</v>
      </c>
    </row>
    <row r="438" spans="1:4" x14ac:dyDescent="0.25">
      <c r="A438" t="s">
        <v>796</v>
      </c>
      <c r="B438" t="s">
        <v>1887</v>
      </c>
      <c r="C438" t="s">
        <v>2163</v>
      </c>
      <c r="D438" t="s">
        <v>601</v>
      </c>
    </row>
    <row r="439" spans="1:4" x14ac:dyDescent="0.25">
      <c r="A439" t="s">
        <v>796</v>
      </c>
      <c r="B439" t="s">
        <v>1888</v>
      </c>
      <c r="C439" t="s">
        <v>2164</v>
      </c>
      <c r="D439" t="s">
        <v>601</v>
      </c>
    </row>
    <row r="440" spans="1:4" x14ac:dyDescent="0.25">
      <c r="A440" t="s">
        <v>796</v>
      </c>
      <c r="B440" t="s">
        <v>1889</v>
      </c>
      <c r="C440" t="s">
        <v>2165</v>
      </c>
      <c r="D440" t="s">
        <v>601</v>
      </c>
    </row>
    <row r="441" spans="1:4" x14ac:dyDescent="0.25">
      <c r="A441" t="s">
        <v>796</v>
      </c>
      <c r="B441" t="s">
        <v>1890</v>
      </c>
      <c r="C441" t="s">
        <v>2166</v>
      </c>
      <c r="D441" t="s">
        <v>601</v>
      </c>
    </row>
    <row r="442" spans="1:4" x14ac:dyDescent="0.25">
      <c r="A442" t="s">
        <v>796</v>
      </c>
      <c r="B442" t="s">
        <v>1891</v>
      </c>
      <c r="C442" t="s">
        <v>2167</v>
      </c>
      <c r="D442" t="s">
        <v>601</v>
      </c>
    </row>
    <row r="443" spans="1:4" x14ac:dyDescent="0.25">
      <c r="A443" t="s">
        <v>796</v>
      </c>
      <c r="B443" t="s">
        <v>1892</v>
      </c>
      <c r="C443" t="s">
        <v>2168</v>
      </c>
      <c r="D443" t="s">
        <v>601</v>
      </c>
    </row>
    <row r="444" spans="1:4" x14ac:dyDescent="0.25">
      <c r="A444" t="s">
        <v>796</v>
      </c>
      <c r="B444" t="s">
        <v>1893</v>
      </c>
      <c r="C444" t="s">
        <v>2169</v>
      </c>
      <c r="D444" t="s">
        <v>601</v>
      </c>
    </row>
    <row r="445" spans="1:4" x14ac:dyDescent="0.25">
      <c r="A445" t="s">
        <v>796</v>
      </c>
      <c r="B445" t="s">
        <v>1894</v>
      </c>
      <c r="C445" t="s">
        <v>2170</v>
      </c>
      <c r="D445" t="s">
        <v>601</v>
      </c>
    </row>
    <row r="446" spans="1:4" x14ac:dyDescent="0.25">
      <c r="A446" t="s">
        <v>796</v>
      </c>
      <c r="B446" t="s">
        <v>1895</v>
      </c>
      <c r="C446" t="s">
        <v>2171</v>
      </c>
      <c r="D446" t="s">
        <v>601</v>
      </c>
    </row>
    <row r="447" spans="1:4" x14ac:dyDescent="0.25">
      <c r="A447" t="s">
        <v>796</v>
      </c>
      <c r="B447" t="s">
        <v>1896</v>
      </c>
      <c r="C447" t="s">
        <v>2172</v>
      </c>
      <c r="D447" t="s">
        <v>601</v>
      </c>
    </row>
    <row r="448" spans="1:4" x14ac:dyDescent="0.25">
      <c r="A448" t="s">
        <v>796</v>
      </c>
      <c r="B448" t="s">
        <v>1897</v>
      </c>
      <c r="C448" t="s">
        <v>2173</v>
      </c>
      <c r="D448" t="s">
        <v>601</v>
      </c>
    </row>
    <row r="449" spans="1:4" x14ac:dyDescent="0.25">
      <c r="A449" t="s">
        <v>796</v>
      </c>
      <c r="B449" t="s">
        <v>1898</v>
      </c>
      <c r="C449" t="s">
        <v>2174</v>
      </c>
      <c r="D449" t="s">
        <v>601</v>
      </c>
    </row>
    <row r="450" spans="1:4" x14ac:dyDescent="0.25">
      <c r="A450" t="s">
        <v>796</v>
      </c>
      <c r="B450" t="s">
        <v>1899</v>
      </c>
      <c r="C450" t="s">
        <v>2175</v>
      </c>
      <c r="D450" t="s">
        <v>601</v>
      </c>
    </row>
    <row r="451" spans="1:4" x14ac:dyDescent="0.25">
      <c r="A451" t="s">
        <v>796</v>
      </c>
      <c r="B451" t="s">
        <v>1900</v>
      </c>
      <c r="C451" t="s">
        <v>2176</v>
      </c>
      <c r="D451" t="s">
        <v>601</v>
      </c>
    </row>
    <row r="452" spans="1:4" x14ac:dyDescent="0.25">
      <c r="A452" t="s">
        <v>796</v>
      </c>
      <c r="B452" t="s">
        <v>1901</v>
      </c>
      <c r="C452" t="s">
        <v>2177</v>
      </c>
      <c r="D452" t="s">
        <v>601</v>
      </c>
    </row>
    <row r="453" spans="1:4" x14ac:dyDescent="0.25">
      <c r="A453" t="s">
        <v>796</v>
      </c>
      <c r="B453" t="s">
        <v>1902</v>
      </c>
      <c r="C453" t="s">
        <v>2178</v>
      </c>
      <c r="D453" t="s">
        <v>601</v>
      </c>
    </row>
    <row r="454" spans="1:4" x14ac:dyDescent="0.25">
      <c r="A454" t="s">
        <v>796</v>
      </c>
      <c r="B454" t="s">
        <v>1903</v>
      </c>
      <c r="C454" t="s">
        <v>2179</v>
      </c>
      <c r="D454" t="s">
        <v>601</v>
      </c>
    </row>
    <row r="455" spans="1:4" x14ac:dyDescent="0.25">
      <c r="A455" t="s">
        <v>796</v>
      </c>
      <c r="B455" t="s">
        <v>1904</v>
      </c>
      <c r="C455" t="s">
        <v>2180</v>
      </c>
      <c r="D455" t="s">
        <v>601</v>
      </c>
    </row>
    <row r="456" spans="1:4" x14ac:dyDescent="0.25">
      <c r="A456" t="s">
        <v>796</v>
      </c>
      <c r="B456" t="s">
        <v>1905</v>
      </c>
      <c r="C456" t="s">
        <v>2181</v>
      </c>
      <c r="D456" t="s">
        <v>601</v>
      </c>
    </row>
    <row r="457" spans="1:4" x14ac:dyDescent="0.25">
      <c r="A457" t="s">
        <v>796</v>
      </c>
      <c r="B457" t="s">
        <v>1906</v>
      </c>
      <c r="C457" t="s">
        <v>2182</v>
      </c>
      <c r="D457" t="s">
        <v>601</v>
      </c>
    </row>
    <row r="458" spans="1:4" x14ac:dyDescent="0.25">
      <c r="A458" t="s">
        <v>796</v>
      </c>
      <c r="B458" t="s">
        <v>1907</v>
      </c>
      <c r="C458" t="s">
        <v>2183</v>
      </c>
      <c r="D458" t="s">
        <v>601</v>
      </c>
    </row>
    <row r="459" spans="1:4" x14ac:dyDescent="0.25">
      <c r="A459" t="s">
        <v>796</v>
      </c>
      <c r="B459" t="s">
        <v>1908</v>
      </c>
      <c r="C459" t="s">
        <v>2184</v>
      </c>
      <c r="D459" t="s">
        <v>601</v>
      </c>
    </row>
    <row r="460" spans="1:4" x14ac:dyDescent="0.25">
      <c r="A460" t="s">
        <v>796</v>
      </c>
      <c r="B460" t="s">
        <v>1909</v>
      </c>
      <c r="C460" t="s">
        <v>2185</v>
      </c>
      <c r="D460" t="s">
        <v>601</v>
      </c>
    </row>
    <row r="461" spans="1:4" x14ac:dyDescent="0.25">
      <c r="A461" t="s">
        <v>796</v>
      </c>
      <c r="B461" t="s">
        <v>1910</v>
      </c>
      <c r="C461" t="s">
        <v>2186</v>
      </c>
      <c r="D461" t="s">
        <v>601</v>
      </c>
    </row>
    <row r="462" spans="1:4" x14ac:dyDescent="0.25">
      <c r="A462" t="s">
        <v>796</v>
      </c>
      <c r="B462" t="s">
        <v>1911</v>
      </c>
      <c r="C462" t="s">
        <v>2187</v>
      </c>
      <c r="D462" t="s">
        <v>601</v>
      </c>
    </row>
    <row r="463" spans="1:4" x14ac:dyDescent="0.25">
      <c r="A463" t="s">
        <v>796</v>
      </c>
      <c r="B463" t="s">
        <v>1912</v>
      </c>
      <c r="C463" t="s">
        <v>2188</v>
      </c>
      <c r="D463" t="s">
        <v>601</v>
      </c>
    </row>
    <row r="464" spans="1:4" x14ac:dyDescent="0.25">
      <c r="A464" t="s">
        <v>796</v>
      </c>
      <c r="B464" t="s">
        <v>1913</v>
      </c>
      <c r="C464" t="s">
        <v>2189</v>
      </c>
      <c r="D464" t="s">
        <v>601</v>
      </c>
    </row>
    <row r="465" spans="1:4" x14ac:dyDescent="0.25">
      <c r="A465" t="s">
        <v>796</v>
      </c>
      <c r="B465" t="s">
        <v>1914</v>
      </c>
      <c r="C465" t="s">
        <v>2190</v>
      </c>
      <c r="D465" t="s">
        <v>601</v>
      </c>
    </row>
    <row r="466" spans="1:4" x14ac:dyDescent="0.25">
      <c r="A466" t="s">
        <v>796</v>
      </c>
      <c r="B466" t="s">
        <v>1915</v>
      </c>
      <c r="C466" t="s">
        <v>2191</v>
      </c>
      <c r="D466" t="s">
        <v>601</v>
      </c>
    </row>
    <row r="467" spans="1:4" x14ac:dyDescent="0.25">
      <c r="A467" t="s">
        <v>796</v>
      </c>
      <c r="B467" t="s">
        <v>1916</v>
      </c>
      <c r="C467" t="s">
        <v>2192</v>
      </c>
      <c r="D467" t="s">
        <v>601</v>
      </c>
    </row>
    <row r="468" spans="1:4" x14ac:dyDescent="0.25">
      <c r="A468" t="s">
        <v>796</v>
      </c>
      <c r="B468" t="s">
        <v>1917</v>
      </c>
      <c r="C468" t="s">
        <v>2193</v>
      </c>
      <c r="D468" t="s">
        <v>601</v>
      </c>
    </row>
    <row r="469" spans="1:4" x14ac:dyDescent="0.25">
      <c r="A469" t="s">
        <v>796</v>
      </c>
      <c r="B469" t="s">
        <v>1918</v>
      </c>
      <c r="C469" t="s">
        <v>2194</v>
      </c>
      <c r="D469" t="s">
        <v>601</v>
      </c>
    </row>
    <row r="470" spans="1:4" x14ac:dyDescent="0.25">
      <c r="A470" t="s">
        <v>796</v>
      </c>
      <c r="B470" t="s">
        <v>1919</v>
      </c>
      <c r="C470" t="s">
        <v>2195</v>
      </c>
      <c r="D470" t="s">
        <v>601</v>
      </c>
    </row>
    <row r="471" spans="1:4" x14ac:dyDescent="0.25">
      <c r="A471" t="s">
        <v>796</v>
      </c>
      <c r="B471" t="s">
        <v>1920</v>
      </c>
      <c r="C471" t="s">
        <v>2196</v>
      </c>
      <c r="D471" t="s">
        <v>601</v>
      </c>
    </row>
    <row r="472" spans="1:4" x14ac:dyDescent="0.25">
      <c r="A472" t="s">
        <v>796</v>
      </c>
      <c r="B472" t="s">
        <v>1921</v>
      </c>
      <c r="C472" t="s">
        <v>2197</v>
      </c>
      <c r="D472" t="s">
        <v>601</v>
      </c>
    </row>
    <row r="473" spans="1:4" x14ac:dyDescent="0.25">
      <c r="A473" t="s">
        <v>796</v>
      </c>
      <c r="B473" t="s">
        <v>1922</v>
      </c>
      <c r="C473" t="s">
        <v>2198</v>
      </c>
      <c r="D473" t="s">
        <v>601</v>
      </c>
    </row>
    <row r="474" spans="1:4" x14ac:dyDescent="0.25">
      <c r="A474" t="s">
        <v>796</v>
      </c>
      <c r="B474" t="s">
        <v>1923</v>
      </c>
      <c r="C474" t="s">
        <v>2199</v>
      </c>
      <c r="D474" t="s">
        <v>601</v>
      </c>
    </row>
    <row r="475" spans="1:4" x14ac:dyDescent="0.25">
      <c r="A475" t="s">
        <v>796</v>
      </c>
      <c r="B475" t="s">
        <v>1924</v>
      </c>
      <c r="C475" t="s">
        <v>2200</v>
      </c>
      <c r="D475" t="s">
        <v>601</v>
      </c>
    </row>
    <row r="476" spans="1:4" x14ac:dyDescent="0.25">
      <c r="A476" t="s">
        <v>796</v>
      </c>
      <c r="B476" t="s">
        <v>1925</v>
      </c>
      <c r="C476" t="s">
        <v>2201</v>
      </c>
      <c r="D476" t="s">
        <v>601</v>
      </c>
    </row>
    <row r="477" spans="1:4" x14ac:dyDescent="0.25">
      <c r="A477" t="s">
        <v>796</v>
      </c>
      <c r="B477" t="s">
        <v>1926</v>
      </c>
      <c r="C477" t="s">
        <v>2202</v>
      </c>
      <c r="D477" t="s">
        <v>601</v>
      </c>
    </row>
    <row r="478" spans="1:4" x14ac:dyDescent="0.25">
      <c r="A478" t="s">
        <v>796</v>
      </c>
      <c r="B478" t="s">
        <v>1927</v>
      </c>
      <c r="C478" t="s">
        <v>2203</v>
      </c>
      <c r="D478" t="s">
        <v>601</v>
      </c>
    </row>
    <row r="479" spans="1:4" x14ac:dyDescent="0.25">
      <c r="A479" t="s">
        <v>796</v>
      </c>
      <c r="B479" t="s">
        <v>1928</v>
      </c>
      <c r="C479" t="s">
        <v>2204</v>
      </c>
      <c r="D479" t="s">
        <v>601</v>
      </c>
    </row>
    <row r="480" spans="1:4" x14ac:dyDescent="0.25">
      <c r="A480" t="s">
        <v>796</v>
      </c>
      <c r="B480" t="s">
        <v>1929</v>
      </c>
      <c r="C480" t="s">
        <v>2205</v>
      </c>
      <c r="D480" t="s">
        <v>601</v>
      </c>
    </row>
    <row r="481" spans="1:4" x14ac:dyDescent="0.25">
      <c r="A481" t="s">
        <v>796</v>
      </c>
      <c r="B481" t="s">
        <v>1930</v>
      </c>
      <c r="C481" t="s">
        <v>2206</v>
      </c>
      <c r="D481" t="s">
        <v>601</v>
      </c>
    </row>
    <row r="482" spans="1:4" x14ac:dyDescent="0.25">
      <c r="A482" t="s">
        <v>796</v>
      </c>
      <c r="B482" t="s">
        <v>1931</v>
      </c>
      <c r="C482" t="s">
        <v>2207</v>
      </c>
      <c r="D482" t="s">
        <v>601</v>
      </c>
    </row>
    <row r="483" spans="1:4" x14ac:dyDescent="0.25">
      <c r="A483" t="s">
        <v>796</v>
      </c>
      <c r="B483" t="s">
        <v>1932</v>
      </c>
      <c r="C483" t="s">
        <v>2208</v>
      </c>
      <c r="D483" t="s">
        <v>601</v>
      </c>
    </row>
    <row r="484" spans="1:4" x14ac:dyDescent="0.25">
      <c r="A484" t="s">
        <v>796</v>
      </c>
      <c r="B484" t="s">
        <v>1933</v>
      </c>
      <c r="C484" t="s">
        <v>2209</v>
      </c>
      <c r="D484" t="s">
        <v>601</v>
      </c>
    </row>
    <row r="485" spans="1:4" x14ac:dyDescent="0.25">
      <c r="A485" t="s">
        <v>796</v>
      </c>
      <c r="B485" t="s">
        <v>1934</v>
      </c>
      <c r="C485" t="s">
        <v>2210</v>
      </c>
      <c r="D485" t="s">
        <v>601</v>
      </c>
    </row>
    <row r="486" spans="1:4" x14ac:dyDescent="0.25">
      <c r="A486" t="s">
        <v>796</v>
      </c>
      <c r="B486" t="s">
        <v>1935</v>
      </c>
      <c r="C486" t="s">
        <v>2211</v>
      </c>
      <c r="D486" t="s">
        <v>601</v>
      </c>
    </row>
    <row r="487" spans="1:4" x14ac:dyDescent="0.25">
      <c r="A487" t="s">
        <v>796</v>
      </c>
      <c r="B487" t="s">
        <v>1936</v>
      </c>
      <c r="C487" t="s">
        <v>2212</v>
      </c>
      <c r="D487" t="s">
        <v>601</v>
      </c>
    </row>
    <row r="488" spans="1:4" x14ac:dyDescent="0.25">
      <c r="A488" t="s">
        <v>796</v>
      </c>
      <c r="B488" t="s">
        <v>1937</v>
      </c>
      <c r="C488" t="s">
        <v>2213</v>
      </c>
      <c r="D488" t="s">
        <v>601</v>
      </c>
    </row>
    <row r="489" spans="1:4" x14ac:dyDescent="0.25">
      <c r="A489" t="s">
        <v>796</v>
      </c>
      <c r="B489" t="s">
        <v>1938</v>
      </c>
      <c r="C489" t="s">
        <v>2214</v>
      </c>
      <c r="D489" t="s">
        <v>601</v>
      </c>
    </row>
    <row r="490" spans="1:4" x14ac:dyDescent="0.25">
      <c r="A490" t="s">
        <v>796</v>
      </c>
      <c r="B490" t="s">
        <v>1939</v>
      </c>
      <c r="C490" t="s">
        <v>2215</v>
      </c>
      <c r="D490" t="s">
        <v>601</v>
      </c>
    </row>
    <row r="491" spans="1:4" x14ac:dyDescent="0.25">
      <c r="A491" t="s">
        <v>796</v>
      </c>
      <c r="B491" t="s">
        <v>1940</v>
      </c>
      <c r="C491" t="s">
        <v>2216</v>
      </c>
      <c r="D491" t="s">
        <v>601</v>
      </c>
    </row>
    <row r="492" spans="1:4" x14ac:dyDescent="0.25">
      <c r="A492" t="s">
        <v>796</v>
      </c>
      <c r="B492" t="s">
        <v>1941</v>
      </c>
      <c r="C492" t="s">
        <v>2217</v>
      </c>
      <c r="D492" t="s">
        <v>601</v>
      </c>
    </row>
    <row r="493" spans="1:4" x14ac:dyDescent="0.25">
      <c r="A493" t="s">
        <v>796</v>
      </c>
      <c r="B493" t="s">
        <v>1942</v>
      </c>
      <c r="C493" t="s">
        <v>2218</v>
      </c>
      <c r="D493" t="s">
        <v>601</v>
      </c>
    </row>
    <row r="494" spans="1:4" x14ac:dyDescent="0.25">
      <c r="A494" t="s">
        <v>796</v>
      </c>
      <c r="B494" t="s">
        <v>1943</v>
      </c>
      <c r="C494" t="s">
        <v>2219</v>
      </c>
      <c r="D494" t="s">
        <v>601</v>
      </c>
    </row>
    <row r="495" spans="1:4" x14ac:dyDescent="0.25">
      <c r="A495" t="s">
        <v>796</v>
      </c>
      <c r="B495" t="s">
        <v>1944</v>
      </c>
      <c r="C495" t="s">
        <v>2220</v>
      </c>
      <c r="D495" t="s">
        <v>601</v>
      </c>
    </row>
    <row r="496" spans="1:4" x14ac:dyDescent="0.25">
      <c r="A496" t="s">
        <v>796</v>
      </c>
      <c r="B496" t="s">
        <v>1945</v>
      </c>
      <c r="C496" t="s">
        <v>2221</v>
      </c>
      <c r="D496" t="s">
        <v>601</v>
      </c>
    </row>
    <row r="497" spans="1:4" x14ac:dyDescent="0.25">
      <c r="A497" t="s">
        <v>796</v>
      </c>
      <c r="B497" t="s">
        <v>1946</v>
      </c>
      <c r="C497" t="s">
        <v>2222</v>
      </c>
      <c r="D497" t="s">
        <v>601</v>
      </c>
    </row>
    <row r="498" spans="1:4" x14ac:dyDescent="0.25">
      <c r="A498" t="s">
        <v>796</v>
      </c>
      <c r="B498" t="s">
        <v>1947</v>
      </c>
      <c r="C498" t="s">
        <v>2223</v>
      </c>
      <c r="D498" t="s">
        <v>601</v>
      </c>
    </row>
    <row r="499" spans="1:4" x14ac:dyDescent="0.25">
      <c r="A499" t="s">
        <v>796</v>
      </c>
      <c r="B499" t="s">
        <v>1948</v>
      </c>
      <c r="C499" t="s">
        <v>2224</v>
      </c>
      <c r="D499" t="s">
        <v>601</v>
      </c>
    </row>
    <row r="500" spans="1:4" x14ac:dyDescent="0.25">
      <c r="A500" t="s">
        <v>796</v>
      </c>
      <c r="B500" t="s">
        <v>1949</v>
      </c>
      <c r="C500" t="s">
        <v>2225</v>
      </c>
      <c r="D500" t="s">
        <v>601</v>
      </c>
    </row>
    <row r="501" spans="1:4" x14ac:dyDescent="0.25">
      <c r="A501" t="s">
        <v>796</v>
      </c>
      <c r="B501" t="s">
        <v>1950</v>
      </c>
      <c r="C501" t="s">
        <v>2226</v>
      </c>
      <c r="D501" t="s">
        <v>601</v>
      </c>
    </row>
    <row r="502" spans="1:4" x14ac:dyDescent="0.25">
      <c r="A502" t="s">
        <v>796</v>
      </c>
      <c r="B502" t="s">
        <v>1951</v>
      </c>
      <c r="C502" t="s">
        <v>2227</v>
      </c>
      <c r="D502" t="s">
        <v>601</v>
      </c>
    </row>
    <row r="503" spans="1:4" x14ac:dyDescent="0.25">
      <c r="A503" t="s">
        <v>796</v>
      </c>
      <c r="B503" t="s">
        <v>1952</v>
      </c>
      <c r="C503" t="s">
        <v>2228</v>
      </c>
      <c r="D503" t="s">
        <v>601</v>
      </c>
    </row>
    <row r="504" spans="1:4" x14ac:dyDescent="0.25">
      <c r="A504" t="s">
        <v>796</v>
      </c>
      <c r="B504" t="s">
        <v>1953</v>
      </c>
      <c r="C504" t="s">
        <v>2229</v>
      </c>
      <c r="D504" t="s">
        <v>601</v>
      </c>
    </row>
    <row r="505" spans="1:4" x14ac:dyDescent="0.25">
      <c r="A505" t="s">
        <v>796</v>
      </c>
      <c r="B505" t="s">
        <v>1954</v>
      </c>
      <c r="C505" t="s">
        <v>2230</v>
      </c>
      <c r="D505" t="s">
        <v>601</v>
      </c>
    </row>
    <row r="506" spans="1:4" x14ac:dyDescent="0.25">
      <c r="A506" t="s">
        <v>796</v>
      </c>
      <c r="B506" t="s">
        <v>1955</v>
      </c>
      <c r="C506" t="s">
        <v>2231</v>
      </c>
      <c r="D506" t="s">
        <v>601</v>
      </c>
    </row>
    <row r="507" spans="1:4" x14ac:dyDescent="0.25">
      <c r="A507" t="s">
        <v>796</v>
      </c>
      <c r="B507" t="s">
        <v>1956</v>
      </c>
      <c r="C507" t="s">
        <v>2232</v>
      </c>
      <c r="D507" t="s">
        <v>601</v>
      </c>
    </row>
    <row r="508" spans="1:4" x14ac:dyDescent="0.25">
      <c r="A508" t="s">
        <v>796</v>
      </c>
      <c r="B508" t="s">
        <v>1957</v>
      </c>
      <c r="C508" t="s">
        <v>2233</v>
      </c>
      <c r="D508" t="s">
        <v>601</v>
      </c>
    </row>
    <row r="509" spans="1:4" x14ac:dyDescent="0.25">
      <c r="A509" t="s">
        <v>796</v>
      </c>
      <c r="B509" t="s">
        <v>1958</v>
      </c>
      <c r="C509" t="s">
        <v>2234</v>
      </c>
      <c r="D509" t="s">
        <v>601</v>
      </c>
    </row>
    <row r="510" spans="1:4" x14ac:dyDescent="0.25">
      <c r="A510" t="s">
        <v>796</v>
      </c>
      <c r="B510" t="s">
        <v>1959</v>
      </c>
      <c r="C510" t="s">
        <v>2235</v>
      </c>
      <c r="D510" t="s">
        <v>601</v>
      </c>
    </row>
    <row r="511" spans="1:4" x14ac:dyDescent="0.25">
      <c r="A511" t="s">
        <v>796</v>
      </c>
      <c r="B511" t="s">
        <v>1960</v>
      </c>
      <c r="C511" t="s">
        <v>2236</v>
      </c>
      <c r="D511" t="s">
        <v>601</v>
      </c>
    </row>
    <row r="512" spans="1:4" x14ac:dyDescent="0.25">
      <c r="A512" t="s">
        <v>796</v>
      </c>
      <c r="B512" t="s">
        <v>1961</v>
      </c>
      <c r="C512" t="s">
        <v>2237</v>
      </c>
      <c r="D512" t="s">
        <v>601</v>
      </c>
    </row>
    <row r="513" spans="1:7" x14ac:dyDescent="0.25">
      <c r="A513" t="s">
        <v>796</v>
      </c>
      <c r="B513" t="s">
        <v>1962</v>
      </c>
      <c r="C513" t="s">
        <v>2238</v>
      </c>
      <c r="D513" t="s">
        <v>601</v>
      </c>
    </row>
    <row r="514" spans="1:7" x14ac:dyDescent="0.25">
      <c r="A514" t="s">
        <v>796</v>
      </c>
      <c r="B514" t="s">
        <v>1963</v>
      </c>
      <c r="C514" t="s">
        <v>2239</v>
      </c>
      <c r="D514" t="s">
        <v>601</v>
      </c>
    </row>
    <row r="515" spans="1:7" x14ac:dyDescent="0.25">
      <c r="A515" t="s">
        <v>796</v>
      </c>
      <c r="B515" t="s">
        <v>1964</v>
      </c>
      <c r="C515" t="s">
        <v>2240</v>
      </c>
      <c r="D515" t="s">
        <v>601</v>
      </c>
    </row>
    <row r="516" spans="1:7" x14ac:dyDescent="0.25">
      <c r="A516" t="s">
        <v>796</v>
      </c>
      <c r="B516" t="s">
        <v>1965</v>
      </c>
      <c r="C516" t="s">
        <v>2241</v>
      </c>
      <c r="D516" t="s">
        <v>601</v>
      </c>
    </row>
    <row r="517" spans="1:7" x14ac:dyDescent="0.25">
      <c r="A517" t="s">
        <v>796</v>
      </c>
      <c r="B517" t="s">
        <v>1966</v>
      </c>
      <c r="C517" t="s">
        <v>2242</v>
      </c>
      <c r="D517" t="s">
        <v>601</v>
      </c>
    </row>
    <row r="518" spans="1:7" x14ac:dyDescent="0.25">
      <c r="A518" t="s">
        <v>796</v>
      </c>
      <c r="B518" t="s">
        <v>1967</v>
      </c>
      <c r="C518" t="s">
        <v>2243</v>
      </c>
      <c r="D518" t="s">
        <v>601</v>
      </c>
    </row>
    <row r="519" spans="1:7" x14ac:dyDescent="0.25">
      <c r="A519" t="s">
        <v>796</v>
      </c>
      <c r="B519" t="s">
        <v>1968</v>
      </c>
      <c r="C519" t="s">
        <v>2244</v>
      </c>
      <c r="D519" t="s">
        <v>601</v>
      </c>
    </row>
    <row r="520" spans="1:7" x14ac:dyDescent="0.25">
      <c r="A520" t="s">
        <v>796</v>
      </c>
      <c r="B520" t="s">
        <v>1969</v>
      </c>
      <c r="C520" t="s">
        <v>2245</v>
      </c>
      <c r="D520" t="s">
        <v>601</v>
      </c>
    </row>
    <row r="521" spans="1:7" x14ac:dyDescent="0.25">
      <c r="A521" t="s">
        <v>796</v>
      </c>
      <c r="B521" t="s">
        <v>1970</v>
      </c>
      <c r="C521" t="s">
        <v>2246</v>
      </c>
      <c r="D521" t="s">
        <v>601</v>
      </c>
    </row>
    <row r="522" spans="1:7" x14ac:dyDescent="0.25">
      <c r="A522" t="s">
        <v>796</v>
      </c>
      <c r="B522" t="s">
        <v>1971</v>
      </c>
      <c r="C522" t="s">
        <v>2247</v>
      </c>
      <c r="D522" t="s">
        <v>601</v>
      </c>
    </row>
    <row r="523" spans="1:7" x14ac:dyDescent="0.25">
      <c r="A523" t="s">
        <v>796</v>
      </c>
      <c r="B523" t="s">
        <v>1972</v>
      </c>
      <c r="C523" t="s">
        <v>2249</v>
      </c>
      <c r="D523" t="s">
        <v>601</v>
      </c>
    </row>
    <row r="524" spans="1:7" x14ac:dyDescent="0.25">
      <c r="A524" t="s">
        <v>796</v>
      </c>
      <c r="B524" t="s">
        <v>1973</v>
      </c>
      <c r="C524" t="s">
        <v>2250</v>
      </c>
      <c r="D524" t="s">
        <v>601</v>
      </c>
    </row>
    <row r="525" spans="1:7" x14ac:dyDescent="0.25">
      <c r="A525" t="s">
        <v>796</v>
      </c>
      <c r="B525" t="s">
        <v>1974</v>
      </c>
      <c r="C525" t="s">
        <v>2251</v>
      </c>
      <c r="D525" t="s">
        <v>601</v>
      </c>
    </row>
    <row r="526" spans="1:7" x14ac:dyDescent="0.25">
      <c r="A526" t="s">
        <v>796</v>
      </c>
      <c r="B526" s="3" t="s">
        <v>1975</v>
      </c>
      <c r="C526" s="3" t="s">
        <v>2252</v>
      </c>
      <c r="D526" s="3" t="s">
        <v>601</v>
      </c>
      <c r="E526" s="3"/>
      <c r="F526" s="3"/>
      <c r="G526" s="3"/>
    </row>
    <row r="527" spans="1:7" x14ac:dyDescent="0.25">
      <c r="A527" t="s">
        <v>1982</v>
      </c>
      <c r="B527" s="3" t="s">
        <v>1976</v>
      </c>
      <c r="C527" s="3"/>
      <c r="D527" s="3" t="s">
        <v>601</v>
      </c>
      <c r="E527" s="3" t="s">
        <v>2802</v>
      </c>
      <c r="F527" s="3"/>
      <c r="G527" s="3"/>
    </row>
    <row r="528" spans="1:7" x14ac:dyDescent="0.25">
      <c r="A528" t="s">
        <v>1982</v>
      </c>
      <c r="B528" s="3" t="s">
        <v>1977</v>
      </c>
      <c r="C528" s="3"/>
      <c r="D528" s="3" t="s">
        <v>601</v>
      </c>
      <c r="E528" s="3"/>
      <c r="F528" s="3"/>
      <c r="G528" s="3"/>
    </row>
    <row r="529" spans="1:7" x14ac:dyDescent="0.25">
      <c r="A529" t="s">
        <v>1982</v>
      </c>
      <c r="B529" s="3" t="s">
        <v>1978</v>
      </c>
      <c r="C529" s="3"/>
      <c r="D529" s="3" t="s">
        <v>601</v>
      </c>
      <c r="E529" s="3"/>
      <c r="F529" s="3"/>
      <c r="G529" s="3"/>
    </row>
    <row r="530" spans="1:7" x14ac:dyDescent="0.25">
      <c r="A530" t="s">
        <v>1982</v>
      </c>
      <c r="B530" s="3" t="s">
        <v>1979</v>
      </c>
      <c r="C530" s="3"/>
      <c r="D530" s="3" t="s">
        <v>601</v>
      </c>
      <c r="E530" s="3"/>
      <c r="F530" s="3"/>
      <c r="G530" s="3"/>
    </row>
    <row r="531" spans="1:7" x14ac:dyDescent="0.25">
      <c r="A531" t="s">
        <v>1982</v>
      </c>
      <c r="B531" s="3" t="s">
        <v>1980</v>
      </c>
      <c r="C531" s="3"/>
      <c r="D531" s="3" t="s">
        <v>601</v>
      </c>
      <c r="E531" s="3"/>
      <c r="F531" s="3"/>
      <c r="G531" s="3"/>
    </row>
    <row r="532" spans="1:7" x14ac:dyDescent="0.25">
      <c r="A532" t="s">
        <v>1982</v>
      </c>
      <c r="B532" s="3" t="s">
        <v>1981</v>
      </c>
      <c r="C532" s="3"/>
      <c r="D532" s="3" t="s">
        <v>601</v>
      </c>
      <c r="E532" s="3"/>
      <c r="F532" s="3"/>
      <c r="G532" s="3"/>
    </row>
    <row r="533" spans="1:7" x14ac:dyDescent="0.25">
      <c r="A533" t="s">
        <v>797</v>
      </c>
      <c r="B533" s="3" t="s">
        <v>1292</v>
      </c>
      <c r="C533" s="3" t="s">
        <v>1694</v>
      </c>
      <c r="D533" s="3" t="s">
        <v>601</v>
      </c>
      <c r="E533" s="3"/>
      <c r="F533" s="3"/>
      <c r="G533" s="3"/>
    </row>
    <row r="534" spans="1:7" x14ac:dyDescent="0.25">
      <c r="A534" t="s">
        <v>797</v>
      </c>
      <c r="B534" t="s">
        <v>1292</v>
      </c>
      <c r="C534" t="s">
        <v>1695</v>
      </c>
      <c r="D534" t="s">
        <v>601</v>
      </c>
    </row>
    <row r="535" spans="1:7" x14ac:dyDescent="0.25">
      <c r="A535" t="s">
        <v>797</v>
      </c>
      <c r="B535" t="s">
        <v>1301</v>
      </c>
      <c r="C535" t="s">
        <v>1698</v>
      </c>
      <c r="D535" t="s">
        <v>601</v>
      </c>
    </row>
    <row r="536" spans="1:7" x14ac:dyDescent="0.25">
      <c r="A536" t="s">
        <v>797</v>
      </c>
      <c r="B536" t="s">
        <v>1301</v>
      </c>
      <c r="C536" t="s">
        <v>1700</v>
      </c>
      <c r="D536" t="s">
        <v>601</v>
      </c>
    </row>
    <row r="537" spans="1:7" x14ac:dyDescent="0.25">
      <c r="A537" t="s">
        <v>797</v>
      </c>
      <c r="B537" t="s">
        <v>1301</v>
      </c>
      <c r="C537" t="s">
        <v>1696</v>
      </c>
      <c r="D537" t="s">
        <v>601</v>
      </c>
    </row>
    <row r="538" spans="1:7" x14ac:dyDescent="0.25">
      <c r="A538" t="s">
        <v>797</v>
      </c>
      <c r="B538" t="s">
        <v>1302</v>
      </c>
      <c r="C538" t="s">
        <v>1699</v>
      </c>
      <c r="D538" t="s">
        <v>601</v>
      </c>
    </row>
    <row r="539" spans="1:7" x14ac:dyDescent="0.25">
      <c r="A539" t="s">
        <v>797</v>
      </c>
      <c r="B539" t="s">
        <v>1302</v>
      </c>
      <c r="C539" t="s">
        <v>1701</v>
      </c>
      <c r="D539" t="s">
        <v>601</v>
      </c>
    </row>
    <row r="540" spans="1:7" x14ac:dyDescent="0.25">
      <c r="A540" t="s">
        <v>797</v>
      </c>
      <c r="B540" t="s">
        <v>1302</v>
      </c>
      <c r="C540" t="s">
        <v>1697</v>
      </c>
      <c r="D540" t="s">
        <v>601</v>
      </c>
    </row>
    <row r="541" spans="1:7" x14ac:dyDescent="0.25">
      <c r="A541" t="s">
        <v>797</v>
      </c>
      <c r="B541" t="s">
        <v>1303</v>
      </c>
      <c r="C541" t="s">
        <v>2803</v>
      </c>
      <c r="D541" t="s">
        <v>601</v>
      </c>
    </row>
    <row r="542" spans="1:7" x14ac:dyDescent="0.25">
      <c r="A542" t="s">
        <v>797</v>
      </c>
      <c r="B542" t="s">
        <v>1303</v>
      </c>
      <c r="C542" t="s">
        <v>2804</v>
      </c>
      <c r="D542" t="s">
        <v>601</v>
      </c>
    </row>
    <row r="543" spans="1:7" x14ac:dyDescent="0.25">
      <c r="A543" t="s">
        <v>797</v>
      </c>
      <c r="B543" t="s">
        <v>1303</v>
      </c>
      <c r="C543" t="s">
        <v>2805</v>
      </c>
      <c r="D543" t="s">
        <v>601</v>
      </c>
    </row>
    <row r="544" spans="1:7" x14ac:dyDescent="0.25">
      <c r="A544" t="s">
        <v>797</v>
      </c>
      <c r="B544" t="s">
        <v>1304</v>
      </c>
      <c r="C544" t="s">
        <v>2806</v>
      </c>
      <c r="D544" t="s">
        <v>601</v>
      </c>
    </row>
    <row r="545" spans="1:4" x14ac:dyDescent="0.25">
      <c r="A545" t="s">
        <v>797</v>
      </c>
      <c r="B545" t="s">
        <v>1304</v>
      </c>
      <c r="C545" t="s">
        <v>2807</v>
      </c>
      <c r="D545" t="s">
        <v>601</v>
      </c>
    </row>
    <row r="546" spans="1:4" x14ac:dyDescent="0.25">
      <c r="A546" t="s">
        <v>797</v>
      </c>
      <c r="B546" t="s">
        <v>1304</v>
      </c>
      <c r="C546" t="s">
        <v>2808</v>
      </c>
      <c r="D546" t="s">
        <v>601</v>
      </c>
    </row>
    <row r="547" spans="1:4" x14ac:dyDescent="0.25">
      <c r="A547" t="s">
        <v>797</v>
      </c>
      <c r="B547" t="s">
        <v>1304</v>
      </c>
      <c r="C547" t="s">
        <v>2809</v>
      </c>
      <c r="D547" t="s">
        <v>601</v>
      </c>
    </row>
    <row r="548" spans="1:4" x14ac:dyDescent="0.25">
      <c r="A548" t="s">
        <v>797</v>
      </c>
      <c r="B548" t="s">
        <v>1305</v>
      </c>
      <c r="C548" t="s">
        <v>2811</v>
      </c>
      <c r="D548" t="s">
        <v>601</v>
      </c>
    </row>
    <row r="549" spans="1:4" x14ac:dyDescent="0.25">
      <c r="A549" t="s">
        <v>797</v>
      </c>
      <c r="B549" t="s">
        <v>1305</v>
      </c>
      <c r="C549" t="s">
        <v>2812</v>
      </c>
      <c r="D549" t="s">
        <v>601</v>
      </c>
    </row>
    <row r="550" spans="1:4" x14ac:dyDescent="0.25">
      <c r="A550" t="s">
        <v>797</v>
      </c>
      <c r="B550" t="s">
        <v>1305</v>
      </c>
      <c r="C550" t="s">
        <v>2813</v>
      </c>
      <c r="D550" t="s">
        <v>601</v>
      </c>
    </row>
    <row r="551" spans="1:4" x14ac:dyDescent="0.25">
      <c r="A551" t="s">
        <v>797</v>
      </c>
      <c r="B551" t="s">
        <v>1305</v>
      </c>
      <c r="C551" t="s">
        <v>2810</v>
      </c>
      <c r="D551" t="s">
        <v>601</v>
      </c>
    </row>
    <row r="552" spans="1:4" x14ac:dyDescent="0.25">
      <c r="A552" t="s">
        <v>797</v>
      </c>
      <c r="B552" t="s">
        <v>1306</v>
      </c>
      <c r="C552" t="s">
        <v>2814</v>
      </c>
      <c r="D552" t="s">
        <v>601</v>
      </c>
    </row>
    <row r="553" spans="1:4" x14ac:dyDescent="0.25">
      <c r="A553" t="s">
        <v>797</v>
      </c>
      <c r="B553" t="s">
        <v>1306</v>
      </c>
      <c r="C553" t="s">
        <v>2815</v>
      </c>
      <c r="D553" t="s">
        <v>601</v>
      </c>
    </row>
    <row r="554" spans="1:4" x14ac:dyDescent="0.25">
      <c r="A554" t="s">
        <v>797</v>
      </c>
      <c r="B554" t="s">
        <v>1306</v>
      </c>
      <c r="C554" t="s">
        <v>2816</v>
      </c>
      <c r="D554" t="s">
        <v>601</v>
      </c>
    </row>
    <row r="555" spans="1:4" x14ac:dyDescent="0.25">
      <c r="A555" t="s">
        <v>797</v>
      </c>
      <c r="B555" t="s">
        <v>1306</v>
      </c>
      <c r="C555" t="s">
        <v>2817</v>
      </c>
      <c r="D555" t="s">
        <v>601</v>
      </c>
    </row>
    <row r="556" spans="1:4" x14ac:dyDescent="0.25">
      <c r="A556" t="s">
        <v>797</v>
      </c>
      <c r="B556" t="s">
        <v>1307</v>
      </c>
      <c r="C556" t="s">
        <v>2818</v>
      </c>
      <c r="D556" t="s">
        <v>601</v>
      </c>
    </row>
    <row r="557" spans="1:4" x14ac:dyDescent="0.25">
      <c r="A557" t="s">
        <v>797</v>
      </c>
      <c r="B557" t="s">
        <v>1307</v>
      </c>
      <c r="C557" t="s">
        <v>2819</v>
      </c>
      <c r="D557" t="s">
        <v>601</v>
      </c>
    </row>
    <row r="558" spans="1:4" x14ac:dyDescent="0.25">
      <c r="A558" t="s">
        <v>797</v>
      </c>
      <c r="B558" t="s">
        <v>1307</v>
      </c>
      <c r="C558" t="s">
        <v>2820</v>
      </c>
      <c r="D558" t="s">
        <v>601</v>
      </c>
    </row>
    <row r="559" spans="1:4" x14ac:dyDescent="0.25">
      <c r="A559" t="s">
        <v>797</v>
      </c>
      <c r="B559" t="s">
        <v>1308</v>
      </c>
      <c r="C559" t="s">
        <v>2821</v>
      </c>
      <c r="D559" t="s">
        <v>601</v>
      </c>
    </row>
    <row r="560" spans="1:4" x14ac:dyDescent="0.25">
      <c r="A560" t="s">
        <v>797</v>
      </c>
      <c r="B560" t="s">
        <v>1308</v>
      </c>
      <c r="C560" t="s">
        <v>2822</v>
      </c>
      <c r="D560" t="s">
        <v>601</v>
      </c>
    </row>
    <row r="561" spans="1:4" x14ac:dyDescent="0.25">
      <c r="A561" t="s">
        <v>797</v>
      </c>
      <c r="B561" t="s">
        <v>1308</v>
      </c>
      <c r="C561" t="s">
        <v>2823</v>
      </c>
      <c r="D561" t="s">
        <v>601</v>
      </c>
    </row>
    <row r="562" spans="1:4" x14ac:dyDescent="0.25">
      <c r="A562" t="s">
        <v>797</v>
      </c>
      <c r="B562" t="s">
        <v>1309</v>
      </c>
      <c r="C562" t="s">
        <v>2824</v>
      </c>
      <c r="D562" t="s">
        <v>601</v>
      </c>
    </row>
    <row r="563" spans="1:4" x14ac:dyDescent="0.25">
      <c r="A563" t="s">
        <v>797</v>
      </c>
      <c r="B563" t="s">
        <v>1309</v>
      </c>
      <c r="C563" t="s">
        <v>2825</v>
      </c>
      <c r="D563" t="s">
        <v>601</v>
      </c>
    </row>
    <row r="564" spans="1:4" x14ac:dyDescent="0.25">
      <c r="A564" t="s">
        <v>797</v>
      </c>
      <c r="B564" t="s">
        <v>1309</v>
      </c>
      <c r="C564" t="s">
        <v>2826</v>
      </c>
      <c r="D564" t="s">
        <v>601</v>
      </c>
    </row>
    <row r="565" spans="1:4" x14ac:dyDescent="0.25">
      <c r="A565" t="s">
        <v>797</v>
      </c>
      <c r="B565" t="s">
        <v>1310</v>
      </c>
      <c r="C565" t="s">
        <v>2827</v>
      </c>
      <c r="D565" t="s">
        <v>601</v>
      </c>
    </row>
    <row r="566" spans="1:4" x14ac:dyDescent="0.25">
      <c r="A566" t="s">
        <v>797</v>
      </c>
      <c r="B566" t="s">
        <v>1310</v>
      </c>
      <c r="C566" t="s">
        <v>2828</v>
      </c>
      <c r="D566" t="s">
        <v>601</v>
      </c>
    </row>
    <row r="567" spans="1:4" x14ac:dyDescent="0.25">
      <c r="A567" t="s">
        <v>797</v>
      </c>
      <c r="B567" t="s">
        <v>1310</v>
      </c>
      <c r="C567" t="s">
        <v>2829</v>
      </c>
      <c r="D567" t="s">
        <v>601</v>
      </c>
    </row>
    <row r="568" spans="1:4" x14ac:dyDescent="0.25">
      <c r="A568" t="s">
        <v>797</v>
      </c>
      <c r="B568" t="s">
        <v>1293</v>
      </c>
      <c r="C568" t="s">
        <v>2830</v>
      </c>
      <c r="D568" t="s">
        <v>601</v>
      </c>
    </row>
    <row r="569" spans="1:4" x14ac:dyDescent="0.25">
      <c r="A569" t="s">
        <v>797</v>
      </c>
      <c r="B569" t="s">
        <v>1311</v>
      </c>
      <c r="C569" t="s">
        <v>2831</v>
      </c>
      <c r="D569" t="s">
        <v>601</v>
      </c>
    </row>
    <row r="570" spans="1:4" x14ac:dyDescent="0.25">
      <c r="A570" t="s">
        <v>797</v>
      </c>
      <c r="B570" t="s">
        <v>1311</v>
      </c>
      <c r="C570" t="s">
        <v>2832</v>
      </c>
      <c r="D570" t="s">
        <v>601</v>
      </c>
    </row>
    <row r="571" spans="1:4" x14ac:dyDescent="0.25">
      <c r="A571" t="s">
        <v>797</v>
      </c>
      <c r="B571" t="s">
        <v>1311</v>
      </c>
      <c r="C571" t="s">
        <v>2833</v>
      </c>
      <c r="D571" t="s">
        <v>601</v>
      </c>
    </row>
    <row r="572" spans="1:4" x14ac:dyDescent="0.25">
      <c r="A572" t="s">
        <v>797</v>
      </c>
      <c r="B572" t="s">
        <v>1312</v>
      </c>
      <c r="C572" t="s">
        <v>2834</v>
      </c>
      <c r="D572" t="s">
        <v>601</v>
      </c>
    </row>
    <row r="573" spans="1:4" x14ac:dyDescent="0.25">
      <c r="A573" t="s">
        <v>797</v>
      </c>
      <c r="B573" t="s">
        <v>1312</v>
      </c>
      <c r="C573" t="s">
        <v>2835</v>
      </c>
      <c r="D573" t="s">
        <v>601</v>
      </c>
    </row>
    <row r="574" spans="1:4" x14ac:dyDescent="0.25">
      <c r="A574" t="s">
        <v>797</v>
      </c>
      <c r="B574" t="s">
        <v>1312</v>
      </c>
      <c r="C574" t="s">
        <v>2836</v>
      </c>
      <c r="D574" t="s">
        <v>601</v>
      </c>
    </row>
    <row r="575" spans="1:4" x14ac:dyDescent="0.25">
      <c r="A575" t="s">
        <v>797</v>
      </c>
      <c r="B575" t="s">
        <v>1313</v>
      </c>
      <c r="C575" t="s">
        <v>2837</v>
      </c>
      <c r="D575" t="s">
        <v>601</v>
      </c>
    </row>
    <row r="576" spans="1:4" x14ac:dyDescent="0.25">
      <c r="A576" t="s">
        <v>797</v>
      </c>
      <c r="B576" t="s">
        <v>1313</v>
      </c>
      <c r="C576" t="s">
        <v>2838</v>
      </c>
      <c r="D576" t="s">
        <v>601</v>
      </c>
    </row>
    <row r="577" spans="1:4" x14ac:dyDescent="0.25">
      <c r="A577" t="s">
        <v>797</v>
      </c>
      <c r="B577" t="s">
        <v>1313</v>
      </c>
      <c r="C577" t="s">
        <v>2839</v>
      </c>
      <c r="D577" t="s">
        <v>601</v>
      </c>
    </row>
    <row r="578" spans="1:4" x14ac:dyDescent="0.25">
      <c r="A578" t="s">
        <v>797</v>
      </c>
      <c r="B578" t="s">
        <v>1314</v>
      </c>
      <c r="C578" t="s">
        <v>2840</v>
      </c>
      <c r="D578" t="s">
        <v>601</v>
      </c>
    </row>
    <row r="579" spans="1:4" x14ac:dyDescent="0.25">
      <c r="A579" t="s">
        <v>797</v>
      </c>
      <c r="B579" t="s">
        <v>1314</v>
      </c>
      <c r="C579" t="s">
        <v>2841</v>
      </c>
      <c r="D579" t="s">
        <v>601</v>
      </c>
    </row>
    <row r="580" spans="1:4" x14ac:dyDescent="0.25">
      <c r="A580" t="s">
        <v>797</v>
      </c>
      <c r="B580" t="s">
        <v>1315</v>
      </c>
      <c r="C580" t="s">
        <v>2842</v>
      </c>
      <c r="D580" t="s">
        <v>601</v>
      </c>
    </row>
    <row r="581" spans="1:4" x14ac:dyDescent="0.25">
      <c r="A581" t="s">
        <v>797</v>
      </c>
      <c r="B581" t="s">
        <v>1315</v>
      </c>
      <c r="C581" t="s">
        <v>2843</v>
      </c>
      <c r="D581" t="s">
        <v>601</v>
      </c>
    </row>
    <row r="582" spans="1:4" x14ac:dyDescent="0.25">
      <c r="A582" t="s">
        <v>797</v>
      </c>
      <c r="B582" t="s">
        <v>1315</v>
      </c>
      <c r="C582" t="s">
        <v>2844</v>
      </c>
      <c r="D582" t="s">
        <v>601</v>
      </c>
    </row>
    <row r="583" spans="1:4" x14ac:dyDescent="0.25">
      <c r="A583" t="s">
        <v>797</v>
      </c>
      <c r="B583" t="s">
        <v>1316</v>
      </c>
      <c r="C583" t="s">
        <v>2845</v>
      </c>
      <c r="D583" t="s">
        <v>601</v>
      </c>
    </row>
    <row r="584" spans="1:4" x14ac:dyDescent="0.25">
      <c r="A584" t="s">
        <v>797</v>
      </c>
      <c r="B584" t="s">
        <v>1316</v>
      </c>
      <c r="C584" t="s">
        <v>2846</v>
      </c>
      <c r="D584" t="s">
        <v>601</v>
      </c>
    </row>
    <row r="585" spans="1:4" x14ac:dyDescent="0.25">
      <c r="A585" t="s">
        <v>797</v>
      </c>
      <c r="B585" t="s">
        <v>1316</v>
      </c>
      <c r="C585" t="s">
        <v>2847</v>
      </c>
      <c r="D585" t="s">
        <v>601</v>
      </c>
    </row>
    <row r="586" spans="1:4" x14ac:dyDescent="0.25">
      <c r="A586" t="s">
        <v>797</v>
      </c>
      <c r="B586" t="s">
        <v>1317</v>
      </c>
      <c r="C586" t="s">
        <v>2848</v>
      </c>
      <c r="D586" t="s">
        <v>601</v>
      </c>
    </row>
    <row r="587" spans="1:4" x14ac:dyDescent="0.25">
      <c r="A587" t="s">
        <v>797</v>
      </c>
      <c r="B587" t="s">
        <v>1317</v>
      </c>
      <c r="C587" t="s">
        <v>2849</v>
      </c>
      <c r="D587" t="s">
        <v>601</v>
      </c>
    </row>
    <row r="588" spans="1:4" x14ac:dyDescent="0.25">
      <c r="A588" t="s">
        <v>797</v>
      </c>
      <c r="B588" t="s">
        <v>1317</v>
      </c>
      <c r="C588" t="s">
        <v>2850</v>
      </c>
      <c r="D588" t="s">
        <v>601</v>
      </c>
    </row>
    <row r="589" spans="1:4" x14ac:dyDescent="0.25">
      <c r="A589" t="s">
        <v>797</v>
      </c>
      <c r="B589" t="s">
        <v>1318</v>
      </c>
      <c r="C589" t="s">
        <v>2851</v>
      </c>
      <c r="D589" t="s">
        <v>601</v>
      </c>
    </row>
    <row r="590" spans="1:4" x14ac:dyDescent="0.25">
      <c r="A590" t="s">
        <v>797</v>
      </c>
      <c r="B590" t="s">
        <v>1318</v>
      </c>
      <c r="C590" t="s">
        <v>2852</v>
      </c>
      <c r="D590" t="s">
        <v>601</v>
      </c>
    </row>
    <row r="591" spans="1:4" x14ac:dyDescent="0.25">
      <c r="A591" t="s">
        <v>797</v>
      </c>
      <c r="B591" t="s">
        <v>1318</v>
      </c>
      <c r="C591" t="s">
        <v>2853</v>
      </c>
      <c r="D591" t="s">
        <v>601</v>
      </c>
    </row>
    <row r="592" spans="1:4" x14ac:dyDescent="0.25">
      <c r="A592" t="s">
        <v>797</v>
      </c>
      <c r="B592" t="s">
        <v>1319</v>
      </c>
      <c r="C592" t="s">
        <v>2854</v>
      </c>
      <c r="D592" t="s">
        <v>601</v>
      </c>
    </row>
    <row r="593" spans="1:4" x14ac:dyDescent="0.25">
      <c r="A593" t="s">
        <v>797</v>
      </c>
      <c r="B593" t="s">
        <v>1319</v>
      </c>
      <c r="C593" t="s">
        <v>2855</v>
      </c>
      <c r="D593" t="s">
        <v>601</v>
      </c>
    </row>
    <row r="594" spans="1:4" x14ac:dyDescent="0.25">
      <c r="A594" t="s">
        <v>797</v>
      </c>
      <c r="B594" t="s">
        <v>1319</v>
      </c>
      <c r="C594" t="s">
        <v>2856</v>
      </c>
      <c r="D594" t="s">
        <v>601</v>
      </c>
    </row>
    <row r="595" spans="1:4" x14ac:dyDescent="0.25">
      <c r="A595" t="s">
        <v>797</v>
      </c>
      <c r="B595" t="s">
        <v>1320</v>
      </c>
      <c r="C595" t="s">
        <v>2857</v>
      </c>
      <c r="D595" t="s">
        <v>601</v>
      </c>
    </row>
    <row r="596" spans="1:4" x14ac:dyDescent="0.25">
      <c r="A596" t="s">
        <v>797</v>
      </c>
      <c r="B596" t="s">
        <v>1320</v>
      </c>
      <c r="C596" t="s">
        <v>2858</v>
      </c>
      <c r="D596" t="s">
        <v>601</v>
      </c>
    </row>
    <row r="597" spans="1:4" x14ac:dyDescent="0.25">
      <c r="A597" t="s">
        <v>797</v>
      </c>
      <c r="B597" t="s">
        <v>1320</v>
      </c>
      <c r="C597" t="s">
        <v>2859</v>
      </c>
      <c r="D597" t="s">
        <v>601</v>
      </c>
    </row>
    <row r="598" spans="1:4" x14ac:dyDescent="0.25">
      <c r="A598" t="s">
        <v>797</v>
      </c>
      <c r="B598" t="s">
        <v>1294</v>
      </c>
      <c r="C598" t="s">
        <v>2860</v>
      </c>
      <c r="D598" t="s">
        <v>601</v>
      </c>
    </row>
    <row r="599" spans="1:4" x14ac:dyDescent="0.25">
      <c r="A599" t="s">
        <v>797</v>
      </c>
      <c r="B599" t="s">
        <v>1294</v>
      </c>
      <c r="C599" t="s">
        <v>2861</v>
      </c>
      <c r="D599" t="s">
        <v>601</v>
      </c>
    </row>
    <row r="600" spans="1:4" x14ac:dyDescent="0.25">
      <c r="A600" t="s">
        <v>797</v>
      </c>
      <c r="B600" t="s">
        <v>1321</v>
      </c>
      <c r="C600" t="s">
        <v>2862</v>
      </c>
      <c r="D600" t="s">
        <v>601</v>
      </c>
    </row>
    <row r="601" spans="1:4" x14ac:dyDescent="0.25">
      <c r="A601" t="s">
        <v>797</v>
      </c>
      <c r="B601" t="s">
        <v>1321</v>
      </c>
      <c r="C601" t="s">
        <v>2866</v>
      </c>
      <c r="D601" t="s">
        <v>601</v>
      </c>
    </row>
    <row r="602" spans="1:4" x14ac:dyDescent="0.25">
      <c r="A602" t="s">
        <v>797</v>
      </c>
      <c r="B602" t="s">
        <v>1322</v>
      </c>
      <c r="C602" t="s">
        <v>2863</v>
      </c>
      <c r="D602" t="s">
        <v>601</v>
      </c>
    </row>
    <row r="603" spans="1:4" x14ac:dyDescent="0.25">
      <c r="A603" t="s">
        <v>797</v>
      </c>
      <c r="B603" t="s">
        <v>1322</v>
      </c>
      <c r="C603" t="s">
        <v>2867</v>
      </c>
      <c r="D603" t="s">
        <v>601</v>
      </c>
    </row>
    <row r="604" spans="1:4" x14ac:dyDescent="0.25">
      <c r="A604" t="s">
        <v>797</v>
      </c>
      <c r="B604" t="s">
        <v>1322</v>
      </c>
      <c r="C604" t="s">
        <v>2868</v>
      </c>
      <c r="D604" t="s">
        <v>601</v>
      </c>
    </row>
    <row r="605" spans="1:4" x14ac:dyDescent="0.25">
      <c r="A605" t="s">
        <v>797</v>
      </c>
      <c r="B605" t="s">
        <v>1323</v>
      </c>
      <c r="C605" t="s">
        <v>2864</v>
      </c>
      <c r="D605" t="s">
        <v>601</v>
      </c>
    </row>
    <row r="606" spans="1:4" x14ac:dyDescent="0.25">
      <c r="A606" t="s">
        <v>797</v>
      </c>
      <c r="B606" t="s">
        <v>1323</v>
      </c>
      <c r="C606" t="s">
        <v>2869</v>
      </c>
      <c r="D606" t="s">
        <v>601</v>
      </c>
    </row>
    <row r="607" spans="1:4" x14ac:dyDescent="0.25">
      <c r="A607" t="s">
        <v>797</v>
      </c>
      <c r="B607" t="s">
        <v>1323</v>
      </c>
      <c r="C607" t="s">
        <v>2870</v>
      </c>
      <c r="D607" t="s">
        <v>601</v>
      </c>
    </row>
    <row r="608" spans="1:4" x14ac:dyDescent="0.25">
      <c r="A608" t="s">
        <v>797</v>
      </c>
      <c r="B608" t="s">
        <v>1324</v>
      </c>
      <c r="C608" t="s">
        <v>2865</v>
      </c>
      <c r="D608" t="s">
        <v>601</v>
      </c>
    </row>
    <row r="609" spans="1:4" x14ac:dyDescent="0.25">
      <c r="A609" t="s">
        <v>797</v>
      </c>
      <c r="B609" t="s">
        <v>1324</v>
      </c>
      <c r="C609" t="s">
        <v>2871</v>
      </c>
      <c r="D609" t="s">
        <v>601</v>
      </c>
    </row>
    <row r="610" spans="1:4" x14ac:dyDescent="0.25">
      <c r="A610" t="s">
        <v>797</v>
      </c>
      <c r="B610" t="s">
        <v>1324</v>
      </c>
      <c r="C610" t="s">
        <v>2872</v>
      </c>
      <c r="D610" t="s">
        <v>601</v>
      </c>
    </row>
    <row r="611" spans="1:4" x14ac:dyDescent="0.25">
      <c r="A611" t="s">
        <v>797</v>
      </c>
      <c r="B611" t="s">
        <v>1325</v>
      </c>
      <c r="C611" t="s">
        <v>2873</v>
      </c>
      <c r="D611" t="s">
        <v>601</v>
      </c>
    </row>
    <row r="612" spans="1:4" x14ac:dyDescent="0.25">
      <c r="A612" t="s">
        <v>797</v>
      </c>
      <c r="B612" t="s">
        <v>1325</v>
      </c>
      <c r="C612" t="s">
        <v>2874</v>
      </c>
      <c r="D612" t="s">
        <v>601</v>
      </c>
    </row>
    <row r="613" spans="1:4" x14ac:dyDescent="0.25">
      <c r="A613" t="s">
        <v>797</v>
      </c>
      <c r="B613" t="s">
        <v>1325</v>
      </c>
      <c r="C613" t="s">
        <v>2875</v>
      </c>
      <c r="D613" t="s">
        <v>601</v>
      </c>
    </row>
    <row r="614" spans="1:4" x14ac:dyDescent="0.25">
      <c r="A614" t="s">
        <v>797</v>
      </c>
      <c r="B614" t="s">
        <v>1326</v>
      </c>
      <c r="C614" t="s">
        <v>2876</v>
      </c>
      <c r="D614" t="s">
        <v>601</v>
      </c>
    </row>
    <row r="615" spans="1:4" x14ac:dyDescent="0.25">
      <c r="A615" t="s">
        <v>797</v>
      </c>
      <c r="B615" t="s">
        <v>1326</v>
      </c>
      <c r="C615" t="s">
        <v>2877</v>
      </c>
      <c r="D615" t="s">
        <v>601</v>
      </c>
    </row>
    <row r="616" spans="1:4" x14ac:dyDescent="0.25">
      <c r="A616" t="s">
        <v>797</v>
      </c>
      <c r="B616" t="s">
        <v>1326</v>
      </c>
      <c r="C616" t="s">
        <v>2878</v>
      </c>
      <c r="D616" t="s">
        <v>601</v>
      </c>
    </row>
    <row r="617" spans="1:4" x14ac:dyDescent="0.25">
      <c r="A617" t="s">
        <v>797</v>
      </c>
      <c r="B617" t="s">
        <v>1327</v>
      </c>
      <c r="C617" t="s">
        <v>2879</v>
      </c>
      <c r="D617" t="s">
        <v>601</v>
      </c>
    </row>
    <row r="618" spans="1:4" x14ac:dyDescent="0.25">
      <c r="A618" t="s">
        <v>797</v>
      </c>
      <c r="B618" t="s">
        <v>1327</v>
      </c>
      <c r="C618" t="s">
        <v>2880</v>
      </c>
      <c r="D618" t="s">
        <v>601</v>
      </c>
    </row>
    <row r="619" spans="1:4" x14ac:dyDescent="0.25">
      <c r="A619" t="s">
        <v>797</v>
      </c>
      <c r="B619" t="s">
        <v>1327</v>
      </c>
      <c r="C619" t="s">
        <v>2881</v>
      </c>
      <c r="D619" t="s">
        <v>601</v>
      </c>
    </row>
    <row r="620" spans="1:4" x14ac:dyDescent="0.25">
      <c r="A620" t="s">
        <v>797</v>
      </c>
      <c r="B620" t="s">
        <v>1327</v>
      </c>
      <c r="C620" t="s">
        <v>2882</v>
      </c>
      <c r="D620" t="s">
        <v>601</v>
      </c>
    </row>
    <row r="621" spans="1:4" x14ac:dyDescent="0.25">
      <c r="A621" t="s">
        <v>797</v>
      </c>
      <c r="B621" t="s">
        <v>1328</v>
      </c>
      <c r="C621" t="s">
        <v>2883</v>
      </c>
      <c r="D621" t="s">
        <v>601</v>
      </c>
    </row>
    <row r="622" spans="1:4" x14ac:dyDescent="0.25">
      <c r="A622" t="s">
        <v>797</v>
      </c>
      <c r="B622" t="s">
        <v>1328</v>
      </c>
      <c r="C622" t="s">
        <v>2884</v>
      </c>
      <c r="D622" t="s">
        <v>601</v>
      </c>
    </row>
    <row r="623" spans="1:4" x14ac:dyDescent="0.25">
      <c r="A623" t="s">
        <v>797</v>
      </c>
      <c r="B623" t="s">
        <v>1328</v>
      </c>
      <c r="C623" t="s">
        <v>2885</v>
      </c>
      <c r="D623" t="s">
        <v>601</v>
      </c>
    </row>
    <row r="624" spans="1:4" x14ac:dyDescent="0.25">
      <c r="A624" t="s">
        <v>797</v>
      </c>
      <c r="B624" t="s">
        <v>1328</v>
      </c>
      <c r="C624" t="s">
        <v>2886</v>
      </c>
      <c r="D624" t="s">
        <v>601</v>
      </c>
    </row>
    <row r="625" spans="1:4" x14ac:dyDescent="0.25">
      <c r="A625" t="s">
        <v>797</v>
      </c>
      <c r="B625" t="s">
        <v>1329</v>
      </c>
      <c r="C625" t="s">
        <v>2887</v>
      </c>
      <c r="D625" t="s">
        <v>601</v>
      </c>
    </row>
    <row r="626" spans="1:4" x14ac:dyDescent="0.25">
      <c r="A626" t="s">
        <v>797</v>
      </c>
      <c r="B626" t="s">
        <v>1329</v>
      </c>
      <c r="C626" t="s">
        <v>2888</v>
      </c>
      <c r="D626" t="s">
        <v>601</v>
      </c>
    </row>
    <row r="627" spans="1:4" x14ac:dyDescent="0.25">
      <c r="A627" t="s">
        <v>797</v>
      </c>
      <c r="B627" t="s">
        <v>1329</v>
      </c>
      <c r="C627" t="s">
        <v>2889</v>
      </c>
      <c r="D627" t="s">
        <v>601</v>
      </c>
    </row>
    <row r="628" spans="1:4" x14ac:dyDescent="0.25">
      <c r="A628" t="s">
        <v>797</v>
      </c>
      <c r="B628" t="s">
        <v>1329</v>
      </c>
      <c r="C628" t="s">
        <v>2890</v>
      </c>
      <c r="D628" t="s">
        <v>601</v>
      </c>
    </row>
    <row r="629" spans="1:4" x14ac:dyDescent="0.25">
      <c r="A629" t="s">
        <v>797</v>
      </c>
      <c r="B629" t="s">
        <v>1330</v>
      </c>
      <c r="C629" t="s">
        <v>2891</v>
      </c>
      <c r="D629" t="s">
        <v>601</v>
      </c>
    </row>
    <row r="630" spans="1:4" x14ac:dyDescent="0.25">
      <c r="A630" t="s">
        <v>797</v>
      </c>
      <c r="B630" t="s">
        <v>1330</v>
      </c>
      <c r="C630" t="s">
        <v>2892</v>
      </c>
      <c r="D630" t="s">
        <v>601</v>
      </c>
    </row>
    <row r="631" spans="1:4" x14ac:dyDescent="0.25">
      <c r="A631" t="s">
        <v>797</v>
      </c>
      <c r="B631" t="s">
        <v>1330</v>
      </c>
      <c r="C631" t="s">
        <v>2893</v>
      </c>
      <c r="D631" t="s">
        <v>601</v>
      </c>
    </row>
    <row r="632" spans="1:4" x14ac:dyDescent="0.25">
      <c r="A632" t="s">
        <v>797</v>
      </c>
      <c r="B632" t="s">
        <v>1330</v>
      </c>
      <c r="C632" t="s">
        <v>2894</v>
      </c>
      <c r="D632" t="s">
        <v>601</v>
      </c>
    </row>
    <row r="633" spans="1:4" x14ac:dyDescent="0.25">
      <c r="A633" t="s">
        <v>797</v>
      </c>
      <c r="B633" t="s">
        <v>1295</v>
      </c>
      <c r="C633" t="s">
        <v>2895</v>
      </c>
      <c r="D633" t="s">
        <v>601</v>
      </c>
    </row>
    <row r="634" spans="1:4" x14ac:dyDescent="0.25">
      <c r="A634" t="s">
        <v>797</v>
      </c>
      <c r="B634" t="s">
        <v>1295</v>
      </c>
      <c r="C634" t="s">
        <v>2896</v>
      </c>
      <c r="D634" t="s">
        <v>601</v>
      </c>
    </row>
    <row r="635" spans="1:4" x14ac:dyDescent="0.25">
      <c r="A635" t="s">
        <v>797</v>
      </c>
      <c r="B635" t="s">
        <v>1295</v>
      </c>
      <c r="C635" t="s">
        <v>2898</v>
      </c>
      <c r="D635" t="s">
        <v>601</v>
      </c>
    </row>
    <row r="636" spans="1:4" x14ac:dyDescent="0.25">
      <c r="A636" t="s">
        <v>797</v>
      </c>
      <c r="B636" t="s">
        <v>1331</v>
      </c>
      <c r="C636" t="s">
        <v>2897</v>
      </c>
      <c r="D636" t="s">
        <v>601</v>
      </c>
    </row>
    <row r="637" spans="1:4" x14ac:dyDescent="0.25">
      <c r="A637" t="s">
        <v>797</v>
      </c>
      <c r="B637" t="s">
        <v>1331</v>
      </c>
      <c r="C637" t="s">
        <v>2899</v>
      </c>
      <c r="D637" t="s">
        <v>601</v>
      </c>
    </row>
    <row r="638" spans="1:4" x14ac:dyDescent="0.25">
      <c r="A638" t="s">
        <v>797</v>
      </c>
      <c r="B638" t="s">
        <v>1331</v>
      </c>
      <c r="C638" t="s">
        <v>2900</v>
      </c>
      <c r="D638" t="s">
        <v>601</v>
      </c>
    </row>
    <row r="639" spans="1:4" x14ac:dyDescent="0.25">
      <c r="A639" t="s">
        <v>797</v>
      </c>
      <c r="B639" t="s">
        <v>1331</v>
      </c>
      <c r="C639" t="s">
        <v>2901</v>
      </c>
      <c r="D639" t="s">
        <v>601</v>
      </c>
    </row>
    <row r="640" spans="1:4" x14ac:dyDescent="0.25">
      <c r="A640" t="s">
        <v>797</v>
      </c>
      <c r="B640" t="s">
        <v>1332</v>
      </c>
      <c r="C640" t="s">
        <v>2902</v>
      </c>
      <c r="D640" t="s">
        <v>601</v>
      </c>
    </row>
    <row r="641" spans="1:4" x14ac:dyDescent="0.25">
      <c r="A641" t="s">
        <v>797</v>
      </c>
      <c r="B641" t="s">
        <v>1332</v>
      </c>
      <c r="C641" t="s">
        <v>2903</v>
      </c>
      <c r="D641" t="s">
        <v>601</v>
      </c>
    </row>
    <row r="642" spans="1:4" x14ac:dyDescent="0.25">
      <c r="A642" t="s">
        <v>797</v>
      </c>
      <c r="B642" t="s">
        <v>1332</v>
      </c>
      <c r="C642" t="s">
        <v>2904</v>
      </c>
      <c r="D642" t="s">
        <v>601</v>
      </c>
    </row>
    <row r="643" spans="1:4" x14ac:dyDescent="0.25">
      <c r="A643" t="s">
        <v>797</v>
      </c>
      <c r="B643" t="s">
        <v>1332</v>
      </c>
      <c r="C643" t="s">
        <v>2905</v>
      </c>
      <c r="D643" t="s">
        <v>601</v>
      </c>
    </row>
    <row r="644" spans="1:4" x14ac:dyDescent="0.25">
      <c r="A644" t="s">
        <v>797</v>
      </c>
      <c r="B644" t="s">
        <v>1333</v>
      </c>
      <c r="C644" t="s">
        <v>2906</v>
      </c>
      <c r="D644" t="s">
        <v>601</v>
      </c>
    </row>
    <row r="645" spans="1:4" x14ac:dyDescent="0.25">
      <c r="A645" t="s">
        <v>797</v>
      </c>
      <c r="B645" t="s">
        <v>1333</v>
      </c>
      <c r="C645" t="s">
        <v>2907</v>
      </c>
      <c r="D645" t="s">
        <v>601</v>
      </c>
    </row>
    <row r="646" spans="1:4" x14ac:dyDescent="0.25">
      <c r="A646" t="s">
        <v>797</v>
      </c>
      <c r="B646" t="s">
        <v>1333</v>
      </c>
      <c r="C646" t="s">
        <v>2908</v>
      </c>
      <c r="D646" t="s">
        <v>601</v>
      </c>
    </row>
    <row r="647" spans="1:4" x14ac:dyDescent="0.25">
      <c r="A647" t="s">
        <v>797</v>
      </c>
      <c r="B647" t="s">
        <v>1333</v>
      </c>
      <c r="C647" t="s">
        <v>2909</v>
      </c>
      <c r="D647" t="s">
        <v>601</v>
      </c>
    </row>
    <row r="648" spans="1:4" x14ac:dyDescent="0.25">
      <c r="A648" t="s">
        <v>797</v>
      </c>
      <c r="B648" t="s">
        <v>1334</v>
      </c>
      <c r="C648" t="s">
        <v>2910</v>
      </c>
      <c r="D648" t="s">
        <v>601</v>
      </c>
    </row>
    <row r="649" spans="1:4" x14ac:dyDescent="0.25">
      <c r="A649" t="s">
        <v>797</v>
      </c>
      <c r="B649" t="s">
        <v>1334</v>
      </c>
      <c r="C649" t="s">
        <v>2911</v>
      </c>
      <c r="D649" t="s">
        <v>601</v>
      </c>
    </row>
    <row r="650" spans="1:4" x14ac:dyDescent="0.25">
      <c r="A650" t="s">
        <v>797</v>
      </c>
      <c r="B650" t="s">
        <v>1334</v>
      </c>
      <c r="C650" t="s">
        <v>2912</v>
      </c>
      <c r="D650" t="s">
        <v>601</v>
      </c>
    </row>
    <row r="651" spans="1:4" x14ac:dyDescent="0.25">
      <c r="A651" t="s">
        <v>797</v>
      </c>
      <c r="B651" t="s">
        <v>1334</v>
      </c>
      <c r="C651" t="s">
        <v>2913</v>
      </c>
      <c r="D651" t="s">
        <v>601</v>
      </c>
    </row>
    <row r="652" spans="1:4" x14ac:dyDescent="0.25">
      <c r="A652" t="s">
        <v>797</v>
      </c>
      <c r="B652" t="s">
        <v>1335</v>
      </c>
      <c r="C652" t="s">
        <v>2914</v>
      </c>
      <c r="D652" t="s">
        <v>601</v>
      </c>
    </row>
    <row r="653" spans="1:4" x14ac:dyDescent="0.25">
      <c r="A653" t="s">
        <v>797</v>
      </c>
      <c r="B653" t="s">
        <v>1335</v>
      </c>
      <c r="C653" t="s">
        <v>2915</v>
      </c>
      <c r="D653" t="s">
        <v>601</v>
      </c>
    </row>
    <row r="654" spans="1:4" x14ac:dyDescent="0.25">
      <c r="A654" t="s">
        <v>797</v>
      </c>
      <c r="B654" t="s">
        <v>1335</v>
      </c>
      <c r="C654" t="s">
        <v>2916</v>
      </c>
      <c r="D654" t="s">
        <v>601</v>
      </c>
    </row>
    <row r="655" spans="1:4" x14ac:dyDescent="0.25">
      <c r="A655" t="s">
        <v>797</v>
      </c>
      <c r="B655" t="s">
        <v>1335</v>
      </c>
      <c r="C655" t="s">
        <v>2917</v>
      </c>
      <c r="D655" t="s">
        <v>601</v>
      </c>
    </row>
    <row r="656" spans="1:4" x14ac:dyDescent="0.25">
      <c r="A656" t="s">
        <v>797</v>
      </c>
      <c r="B656" t="s">
        <v>1336</v>
      </c>
      <c r="C656" t="s">
        <v>2918</v>
      </c>
      <c r="D656" t="s">
        <v>601</v>
      </c>
    </row>
    <row r="657" spans="1:4" x14ac:dyDescent="0.25">
      <c r="A657" t="s">
        <v>797</v>
      </c>
      <c r="B657" t="s">
        <v>1336</v>
      </c>
      <c r="C657" t="s">
        <v>2919</v>
      </c>
      <c r="D657" t="s">
        <v>601</v>
      </c>
    </row>
    <row r="658" spans="1:4" x14ac:dyDescent="0.25">
      <c r="A658" t="s">
        <v>797</v>
      </c>
      <c r="B658" t="s">
        <v>1336</v>
      </c>
      <c r="C658" t="s">
        <v>2920</v>
      </c>
      <c r="D658" t="s">
        <v>601</v>
      </c>
    </row>
    <row r="659" spans="1:4" x14ac:dyDescent="0.25">
      <c r="A659" t="s">
        <v>797</v>
      </c>
      <c r="B659" t="s">
        <v>1337</v>
      </c>
      <c r="C659" t="s">
        <v>2921</v>
      </c>
      <c r="D659" t="s">
        <v>601</v>
      </c>
    </row>
    <row r="660" spans="1:4" x14ac:dyDescent="0.25">
      <c r="A660" t="s">
        <v>797</v>
      </c>
      <c r="B660" t="s">
        <v>1337</v>
      </c>
      <c r="C660" t="s">
        <v>2922</v>
      </c>
      <c r="D660" t="s">
        <v>601</v>
      </c>
    </row>
    <row r="661" spans="1:4" x14ac:dyDescent="0.25">
      <c r="A661" t="s">
        <v>797</v>
      </c>
      <c r="B661" t="s">
        <v>1338</v>
      </c>
      <c r="C661" t="s">
        <v>2923</v>
      </c>
      <c r="D661" t="s">
        <v>601</v>
      </c>
    </row>
    <row r="662" spans="1:4" x14ac:dyDescent="0.25">
      <c r="A662" t="s">
        <v>797</v>
      </c>
      <c r="B662" t="s">
        <v>1338</v>
      </c>
      <c r="C662" t="s">
        <v>2924</v>
      </c>
      <c r="D662" t="s">
        <v>601</v>
      </c>
    </row>
    <row r="663" spans="1:4" x14ac:dyDescent="0.25">
      <c r="A663" t="s">
        <v>797</v>
      </c>
      <c r="B663" t="s">
        <v>1338</v>
      </c>
      <c r="C663" t="s">
        <v>2925</v>
      </c>
      <c r="D663" t="s">
        <v>601</v>
      </c>
    </row>
    <row r="664" spans="1:4" x14ac:dyDescent="0.25">
      <c r="A664" t="s">
        <v>797</v>
      </c>
      <c r="B664" t="s">
        <v>1338</v>
      </c>
      <c r="C664" t="s">
        <v>2926</v>
      </c>
      <c r="D664" t="s">
        <v>601</v>
      </c>
    </row>
    <row r="665" spans="1:4" x14ac:dyDescent="0.25">
      <c r="A665" t="s">
        <v>797</v>
      </c>
      <c r="B665" t="s">
        <v>1339</v>
      </c>
      <c r="C665" t="s">
        <v>2927</v>
      </c>
      <c r="D665" t="s">
        <v>601</v>
      </c>
    </row>
    <row r="666" spans="1:4" x14ac:dyDescent="0.25">
      <c r="A666" t="s">
        <v>797</v>
      </c>
      <c r="B666" t="s">
        <v>1339</v>
      </c>
      <c r="C666" t="s">
        <v>2928</v>
      </c>
      <c r="D666" t="s">
        <v>601</v>
      </c>
    </row>
    <row r="667" spans="1:4" x14ac:dyDescent="0.25">
      <c r="A667" t="s">
        <v>797</v>
      </c>
      <c r="B667" t="s">
        <v>1287</v>
      </c>
      <c r="C667" t="s">
        <v>2929</v>
      </c>
      <c r="D667" t="s">
        <v>601</v>
      </c>
    </row>
    <row r="668" spans="1:4" x14ac:dyDescent="0.25">
      <c r="A668" t="s">
        <v>797</v>
      </c>
      <c r="B668" t="s">
        <v>1296</v>
      </c>
      <c r="C668" t="s">
        <v>2930</v>
      </c>
      <c r="D668" t="s">
        <v>601</v>
      </c>
    </row>
    <row r="669" spans="1:4" x14ac:dyDescent="0.25">
      <c r="A669" t="s">
        <v>797</v>
      </c>
      <c r="B669" t="s">
        <v>1296</v>
      </c>
      <c r="C669" t="s">
        <v>2931</v>
      </c>
      <c r="D669" t="s">
        <v>601</v>
      </c>
    </row>
    <row r="670" spans="1:4" x14ac:dyDescent="0.25">
      <c r="A670" t="s">
        <v>797</v>
      </c>
      <c r="B670" t="s">
        <v>1296</v>
      </c>
      <c r="C670" t="s">
        <v>2932</v>
      </c>
      <c r="D670" t="s">
        <v>601</v>
      </c>
    </row>
    <row r="671" spans="1:4" x14ac:dyDescent="0.25">
      <c r="A671" t="s">
        <v>797</v>
      </c>
      <c r="B671" t="s">
        <v>1340</v>
      </c>
      <c r="C671" t="s">
        <v>2933</v>
      </c>
      <c r="D671" t="s">
        <v>601</v>
      </c>
    </row>
    <row r="672" spans="1:4" x14ac:dyDescent="0.25">
      <c r="A672" t="s">
        <v>797</v>
      </c>
      <c r="B672" t="s">
        <v>1340</v>
      </c>
      <c r="C672" t="s">
        <v>2937</v>
      </c>
      <c r="D672" t="s">
        <v>601</v>
      </c>
    </row>
    <row r="673" spans="1:4" x14ac:dyDescent="0.25">
      <c r="A673" t="s">
        <v>797</v>
      </c>
      <c r="B673" t="s">
        <v>1340</v>
      </c>
      <c r="C673" t="s">
        <v>2938</v>
      </c>
      <c r="D673" t="s">
        <v>601</v>
      </c>
    </row>
    <row r="674" spans="1:4" x14ac:dyDescent="0.25">
      <c r="A674" t="s">
        <v>797</v>
      </c>
      <c r="B674" t="s">
        <v>1363</v>
      </c>
      <c r="C674" t="s">
        <v>2934</v>
      </c>
      <c r="D674" t="s">
        <v>601</v>
      </c>
    </row>
    <row r="675" spans="1:4" x14ac:dyDescent="0.25">
      <c r="A675" t="s">
        <v>797</v>
      </c>
      <c r="B675" t="s">
        <v>1363</v>
      </c>
      <c r="C675" t="s">
        <v>2939</v>
      </c>
      <c r="D675" t="s">
        <v>601</v>
      </c>
    </row>
    <row r="676" spans="1:4" x14ac:dyDescent="0.25">
      <c r="A676" t="s">
        <v>797</v>
      </c>
      <c r="B676" t="s">
        <v>1341</v>
      </c>
      <c r="C676" t="s">
        <v>2935</v>
      </c>
      <c r="D676" t="s">
        <v>601</v>
      </c>
    </row>
    <row r="677" spans="1:4" x14ac:dyDescent="0.25">
      <c r="A677" t="s">
        <v>797</v>
      </c>
      <c r="B677" t="s">
        <v>1341</v>
      </c>
      <c r="C677" t="s">
        <v>2940</v>
      </c>
      <c r="D677" t="s">
        <v>601</v>
      </c>
    </row>
    <row r="678" spans="1:4" x14ac:dyDescent="0.25">
      <c r="A678" t="s">
        <v>797</v>
      </c>
      <c r="B678" t="s">
        <v>1342</v>
      </c>
      <c r="C678" t="s">
        <v>2936</v>
      </c>
      <c r="D678" t="s">
        <v>601</v>
      </c>
    </row>
    <row r="679" spans="1:4" x14ac:dyDescent="0.25">
      <c r="A679" t="s">
        <v>797</v>
      </c>
      <c r="B679" t="s">
        <v>1342</v>
      </c>
      <c r="C679" t="s">
        <v>2941</v>
      </c>
      <c r="D679" t="s">
        <v>601</v>
      </c>
    </row>
    <row r="680" spans="1:4" x14ac:dyDescent="0.25">
      <c r="A680" t="s">
        <v>797</v>
      </c>
      <c r="B680" t="s">
        <v>1342</v>
      </c>
      <c r="C680" t="s">
        <v>2942</v>
      </c>
      <c r="D680" t="s">
        <v>601</v>
      </c>
    </row>
    <row r="681" spans="1:4" x14ac:dyDescent="0.25">
      <c r="A681" t="s">
        <v>797</v>
      </c>
      <c r="B681" t="s">
        <v>1343</v>
      </c>
      <c r="C681" t="s">
        <v>2943</v>
      </c>
      <c r="D681" t="s">
        <v>601</v>
      </c>
    </row>
    <row r="682" spans="1:4" x14ac:dyDescent="0.25">
      <c r="A682" t="s">
        <v>797</v>
      </c>
      <c r="B682" t="s">
        <v>1343</v>
      </c>
      <c r="C682" t="s">
        <v>2944</v>
      </c>
      <c r="D682" t="s">
        <v>601</v>
      </c>
    </row>
    <row r="683" spans="1:4" x14ac:dyDescent="0.25">
      <c r="A683" t="s">
        <v>797</v>
      </c>
      <c r="B683" t="s">
        <v>1343</v>
      </c>
      <c r="C683" t="s">
        <v>2945</v>
      </c>
      <c r="D683" t="s">
        <v>601</v>
      </c>
    </row>
    <row r="684" spans="1:4" x14ac:dyDescent="0.25">
      <c r="A684" t="s">
        <v>797</v>
      </c>
      <c r="B684" t="s">
        <v>1364</v>
      </c>
      <c r="C684" t="s">
        <v>2946</v>
      </c>
      <c r="D684" t="s">
        <v>601</v>
      </c>
    </row>
    <row r="685" spans="1:4" x14ac:dyDescent="0.25">
      <c r="A685" t="s">
        <v>797</v>
      </c>
      <c r="B685" t="s">
        <v>1364</v>
      </c>
      <c r="C685" t="s">
        <v>2947</v>
      </c>
      <c r="D685" t="s">
        <v>601</v>
      </c>
    </row>
    <row r="686" spans="1:4" x14ac:dyDescent="0.25">
      <c r="A686" t="s">
        <v>797</v>
      </c>
      <c r="B686" t="s">
        <v>1344</v>
      </c>
      <c r="C686" t="s">
        <v>2948</v>
      </c>
      <c r="D686" t="s">
        <v>601</v>
      </c>
    </row>
    <row r="687" spans="1:4" x14ac:dyDescent="0.25">
      <c r="A687" t="s">
        <v>797</v>
      </c>
      <c r="B687" t="s">
        <v>1344</v>
      </c>
      <c r="C687" t="s">
        <v>2949</v>
      </c>
      <c r="D687" t="s">
        <v>601</v>
      </c>
    </row>
    <row r="688" spans="1:4" x14ac:dyDescent="0.25">
      <c r="A688" t="s">
        <v>797</v>
      </c>
      <c r="B688" t="s">
        <v>1345</v>
      </c>
      <c r="C688" t="s">
        <v>2950</v>
      </c>
      <c r="D688" t="s">
        <v>601</v>
      </c>
    </row>
    <row r="689" spans="1:4" x14ac:dyDescent="0.25">
      <c r="A689" t="s">
        <v>797</v>
      </c>
      <c r="B689" t="s">
        <v>1345</v>
      </c>
      <c r="C689" t="s">
        <v>2951</v>
      </c>
      <c r="D689" t="s">
        <v>601</v>
      </c>
    </row>
    <row r="690" spans="1:4" x14ac:dyDescent="0.25">
      <c r="A690" t="s">
        <v>797</v>
      </c>
      <c r="B690" t="s">
        <v>1345</v>
      </c>
      <c r="C690" t="s">
        <v>2952</v>
      </c>
      <c r="D690" t="s">
        <v>601</v>
      </c>
    </row>
    <row r="691" spans="1:4" x14ac:dyDescent="0.25">
      <c r="A691" t="s">
        <v>797</v>
      </c>
      <c r="B691" t="s">
        <v>1346</v>
      </c>
      <c r="C691" t="s">
        <v>2953</v>
      </c>
      <c r="D691" t="s">
        <v>601</v>
      </c>
    </row>
    <row r="692" spans="1:4" x14ac:dyDescent="0.25">
      <c r="A692" t="s">
        <v>797</v>
      </c>
      <c r="B692" t="s">
        <v>1346</v>
      </c>
      <c r="C692" t="s">
        <v>2954</v>
      </c>
      <c r="D692" t="s">
        <v>601</v>
      </c>
    </row>
    <row r="693" spans="1:4" x14ac:dyDescent="0.25">
      <c r="A693" t="s">
        <v>797</v>
      </c>
      <c r="B693" t="s">
        <v>1346</v>
      </c>
      <c r="C693" t="s">
        <v>2955</v>
      </c>
      <c r="D693" t="s">
        <v>601</v>
      </c>
    </row>
    <row r="694" spans="1:4" x14ac:dyDescent="0.25">
      <c r="A694" t="s">
        <v>797</v>
      </c>
      <c r="B694" t="s">
        <v>1365</v>
      </c>
      <c r="C694" t="s">
        <v>2956</v>
      </c>
      <c r="D694" t="s">
        <v>601</v>
      </c>
    </row>
    <row r="695" spans="1:4" x14ac:dyDescent="0.25">
      <c r="A695" t="s">
        <v>797</v>
      </c>
      <c r="B695" t="s">
        <v>1365</v>
      </c>
      <c r="C695" t="s">
        <v>2957</v>
      </c>
      <c r="D695" t="s">
        <v>601</v>
      </c>
    </row>
    <row r="696" spans="1:4" x14ac:dyDescent="0.25">
      <c r="A696" t="s">
        <v>797</v>
      </c>
      <c r="B696" t="s">
        <v>1297</v>
      </c>
      <c r="C696" t="s">
        <v>2958</v>
      </c>
      <c r="D696" t="s">
        <v>601</v>
      </c>
    </row>
    <row r="697" spans="1:4" x14ac:dyDescent="0.25">
      <c r="A697" t="s">
        <v>797</v>
      </c>
      <c r="B697" t="s">
        <v>1297</v>
      </c>
      <c r="C697" t="s">
        <v>2959</v>
      </c>
      <c r="D697" t="s">
        <v>601</v>
      </c>
    </row>
    <row r="698" spans="1:4" x14ac:dyDescent="0.25">
      <c r="A698" t="s">
        <v>797</v>
      </c>
      <c r="B698" t="s">
        <v>1297</v>
      </c>
      <c r="C698" t="s">
        <v>2960</v>
      </c>
      <c r="D698" t="s">
        <v>601</v>
      </c>
    </row>
    <row r="699" spans="1:4" x14ac:dyDescent="0.25">
      <c r="A699" t="s">
        <v>797</v>
      </c>
      <c r="B699" t="s">
        <v>1297</v>
      </c>
      <c r="C699" t="s">
        <v>2961</v>
      </c>
      <c r="D699" t="s">
        <v>601</v>
      </c>
    </row>
    <row r="700" spans="1:4" x14ac:dyDescent="0.25">
      <c r="A700" t="s">
        <v>797</v>
      </c>
      <c r="B700" t="s">
        <v>1347</v>
      </c>
      <c r="C700" t="s">
        <v>2962</v>
      </c>
      <c r="D700" t="s">
        <v>601</v>
      </c>
    </row>
    <row r="701" spans="1:4" x14ac:dyDescent="0.25">
      <c r="A701" t="s">
        <v>797</v>
      </c>
      <c r="B701" t="s">
        <v>1347</v>
      </c>
      <c r="C701" t="s">
        <v>2965</v>
      </c>
      <c r="D701" t="s">
        <v>601</v>
      </c>
    </row>
    <row r="702" spans="1:4" x14ac:dyDescent="0.25">
      <c r="A702" t="s">
        <v>797</v>
      </c>
      <c r="B702" t="s">
        <v>1347</v>
      </c>
      <c r="C702" t="s">
        <v>2966</v>
      </c>
      <c r="D702" t="s">
        <v>601</v>
      </c>
    </row>
    <row r="703" spans="1:4" x14ac:dyDescent="0.25">
      <c r="A703" t="s">
        <v>797</v>
      </c>
      <c r="B703" t="s">
        <v>1347</v>
      </c>
      <c r="C703" t="s">
        <v>2967</v>
      </c>
      <c r="D703" t="s">
        <v>601</v>
      </c>
    </row>
    <row r="704" spans="1:4" x14ac:dyDescent="0.25">
      <c r="A704" t="s">
        <v>797</v>
      </c>
      <c r="B704" t="s">
        <v>1348</v>
      </c>
      <c r="C704" t="s">
        <v>2963</v>
      </c>
      <c r="D704" t="s">
        <v>601</v>
      </c>
    </row>
    <row r="705" spans="1:4" x14ac:dyDescent="0.25">
      <c r="A705" t="s">
        <v>797</v>
      </c>
      <c r="B705" t="s">
        <v>1348</v>
      </c>
      <c r="C705" t="s">
        <v>2968</v>
      </c>
      <c r="D705" t="s">
        <v>601</v>
      </c>
    </row>
    <row r="706" spans="1:4" x14ac:dyDescent="0.25">
      <c r="A706" t="s">
        <v>797</v>
      </c>
      <c r="B706" t="s">
        <v>1348</v>
      </c>
      <c r="C706" t="s">
        <v>2969</v>
      </c>
      <c r="D706" t="s">
        <v>601</v>
      </c>
    </row>
    <row r="707" spans="1:4" x14ac:dyDescent="0.25">
      <c r="A707" t="s">
        <v>797</v>
      </c>
      <c r="B707" t="s">
        <v>1349</v>
      </c>
      <c r="C707" t="s">
        <v>2964</v>
      </c>
      <c r="D707" t="s">
        <v>601</v>
      </c>
    </row>
    <row r="708" spans="1:4" x14ac:dyDescent="0.25">
      <c r="A708" t="s">
        <v>797</v>
      </c>
      <c r="B708" t="s">
        <v>1349</v>
      </c>
      <c r="C708" t="s">
        <v>2970</v>
      </c>
      <c r="D708" t="s">
        <v>601</v>
      </c>
    </row>
    <row r="709" spans="1:4" x14ac:dyDescent="0.25">
      <c r="A709" t="s">
        <v>797</v>
      </c>
      <c r="B709" t="s">
        <v>1349</v>
      </c>
      <c r="C709" t="s">
        <v>2971</v>
      </c>
      <c r="D709" t="s">
        <v>601</v>
      </c>
    </row>
    <row r="710" spans="1:4" x14ac:dyDescent="0.25">
      <c r="A710" t="s">
        <v>797</v>
      </c>
      <c r="B710" t="s">
        <v>1350</v>
      </c>
      <c r="C710" t="s">
        <v>2972</v>
      </c>
      <c r="D710" t="s">
        <v>601</v>
      </c>
    </row>
    <row r="711" spans="1:4" x14ac:dyDescent="0.25">
      <c r="A711" t="s">
        <v>797</v>
      </c>
      <c r="B711" t="s">
        <v>1350</v>
      </c>
      <c r="C711" t="s">
        <v>2973</v>
      </c>
      <c r="D711" t="s">
        <v>601</v>
      </c>
    </row>
    <row r="712" spans="1:4" x14ac:dyDescent="0.25">
      <c r="A712" t="s">
        <v>797</v>
      </c>
      <c r="B712" t="s">
        <v>1350</v>
      </c>
      <c r="C712" t="s">
        <v>2974</v>
      </c>
      <c r="D712" t="s">
        <v>601</v>
      </c>
    </row>
    <row r="713" spans="1:4" x14ac:dyDescent="0.25">
      <c r="A713" t="s">
        <v>797</v>
      </c>
      <c r="B713" t="s">
        <v>1351</v>
      </c>
      <c r="C713" t="s">
        <v>2975</v>
      </c>
      <c r="D713" t="s">
        <v>601</v>
      </c>
    </row>
    <row r="714" spans="1:4" x14ac:dyDescent="0.25">
      <c r="A714" t="s">
        <v>797</v>
      </c>
      <c r="B714" t="s">
        <v>1351</v>
      </c>
      <c r="C714" t="s">
        <v>2976</v>
      </c>
      <c r="D714" t="s">
        <v>601</v>
      </c>
    </row>
    <row r="715" spans="1:4" x14ac:dyDescent="0.25">
      <c r="A715" t="s">
        <v>797</v>
      </c>
      <c r="B715" t="s">
        <v>1351</v>
      </c>
      <c r="C715" t="s">
        <v>2977</v>
      </c>
      <c r="D715" t="s">
        <v>601</v>
      </c>
    </row>
    <row r="716" spans="1:4" x14ac:dyDescent="0.25">
      <c r="A716" t="s">
        <v>797</v>
      </c>
      <c r="B716" t="s">
        <v>1351</v>
      </c>
      <c r="C716" t="s">
        <v>2978</v>
      </c>
      <c r="D716" t="s">
        <v>601</v>
      </c>
    </row>
    <row r="717" spans="1:4" x14ac:dyDescent="0.25">
      <c r="A717" t="s">
        <v>797</v>
      </c>
      <c r="B717" t="s">
        <v>1352</v>
      </c>
      <c r="C717" t="s">
        <v>2979</v>
      </c>
      <c r="D717" t="s">
        <v>601</v>
      </c>
    </row>
    <row r="718" spans="1:4" x14ac:dyDescent="0.25">
      <c r="A718" t="s">
        <v>797</v>
      </c>
      <c r="B718" t="s">
        <v>1352</v>
      </c>
      <c r="C718" t="s">
        <v>2980</v>
      </c>
      <c r="D718" t="s">
        <v>601</v>
      </c>
    </row>
    <row r="719" spans="1:4" x14ac:dyDescent="0.25">
      <c r="A719" t="s">
        <v>797</v>
      </c>
      <c r="B719" t="s">
        <v>1352</v>
      </c>
      <c r="C719" t="s">
        <v>2981</v>
      </c>
      <c r="D719" t="s">
        <v>601</v>
      </c>
    </row>
    <row r="720" spans="1:4" x14ac:dyDescent="0.25">
      <c r="A720" t="s">
        <v>797</v>
      </c>
      <c r="B720" t="s">
        <v>1353</v>
      </c>
      <c r="C720" t="s">
        <v>2982</v>
      </c>
      <c r="D720" t="s">
        <v>601</v>
      </c>
    </row>
    <row r="721" spans="1:4" x14ac:dyDescent="0.25">
      <c r="A721" t="s">
        <v>797</v>
      </c>
      <c r="B721" t="s">
        <v>1353</v>
      </c>
      <c r="C721" t="s">
        <v>2983</v>
      </c>
      <c r="D721" t="s">
        <v>601</v>
      </c>
    </row>
    <row r="722" spans="1:4" x14ac:dyDescent="0.25">
      <c r="A722" t="s">
        <v>797</v>
      </c>
      <c r="B722" t="s">
        <v>1353</v>
      </c>
      <c r="C722" t="s">
        <v>2984</v>
      </c>
      <c r="D722" t="s">
        <v>601</v>
      </c>
    </row>
    <row r="723" spans="1:4" x14ac:dyDescent="0.25">
      <c r="A723" t="s">
        <v>797</v>
      </c>
      <c r="B723" t="s">
        <v>1354</v>
      </c>
      <c r="C723" t="s">
        <v>2985</v>
      </c>
      <c r="D723" t="s">
        <v>601</v>
      </c>
    </row>
    <row r="724" spans="1:4" x14ac:dyDescent="0.25">
      <c r="A724" t="s">
        <v>797</v>
      </c>
      <c r="B724" t="s">
        <v>1354</v>
      </c>
      <c r="C724" t="s">
        <v>2986</v>
      </c>
      <c r="D724" t="s">
        <v>601</v>
      </c>
    </row>
    <row r="725" spans="1:4" x14ac:dyDescent="0.25">
      <c r="A725" t="s">
        <v>797</v>
      </c>
      <c r="B725" t="s">
        <v>1354</v>
      </c>
      <c r="C725" t="s">
        <v>2987</v>
      </c>
      <c r="D725" t="s">
        <v>601</v>
      </c>
    </row>
    <row r="726" spans="1:4" x14ac:dyDescent="0.25">
      <c r="A726" t="s">
        <v>797</v>
      </c>
      <c r="B726" t="s">
        <v>1366</v>
      </c>
      <c r="C726" t="s">
        <v>2988</v>
      </c>
      <c r="D726" t="s">
        <v>601</v>
      </c>
    </row>
    <row r="727" spans="1:4" x14ac:dyDescent="0.25">
      <c r="A727" t="s">
        <v>797</v>
      </c>
      <c r="B727" t="s">
        <v>1366</v>
      </c>
      <c r="C727" t="s">
        <v>2989</v>
      </c>
      <c r="D727" t="s">
        <v>601</v>
      </c>
    </row>
    <row r="728" spans="1:4" x14ac:dyDescent="0.25">
      <c r="A728" t="s">
        <v>797</v>
      </c>
      <c r="B728" t="s">
        <v>1355</v>
      </c>
      <c r="C728" t="s">
        <v>2990</v>
      </c>
      <c r="D728" t="s">
        <v>601</v>
      </c>
    </row>
    <row r="729" spans="1:4" x14ac:dyDescent="0.25">
      <c r="A729" t="s">
        <v>797</v>
      </c>
      <c r="B729" t="s">
        <v>1355</v>
      </c>
      <c r="C729" t="s">
        <v>2991</v>
      </c>
      <c r="D729" t="s">
        <v>601</v>
      </c>
    </row>
    <row r="730" spans="1:4" x14ac:dyDescent="0.25">
      <c r="A730" t="s">
        <v>797</v>
      </c>
      <c r="B730" t="s">
        <v>1355</v>
      </c>
      <c r="C730" t="s">
        <v>2992</v>
      </c>
      <c r="D730" t="s">
        <v>601</v>
      </c>
    </row>
    <row r="731" spans="1:4" x14ac:dyDescent="0.25">
      <c r="A731" t="s">
        <v>797</v>
      </c>
      <c r="B731" t="s">
        <v>1298</v>
      </c>
      <c r="C731" t="s">
        <v>2993</v>
      </c>
      <c r="D731" t="s">
        <v>601</v>
      </c>
    </row>
    <row r="732" spans="1:4" x14ac:dyDescent="0.25">
      <c r="A732" t="s">
        <v>797</v>
      </c>
      <c r="B732" t="s">
        <v>1298</v>
      </c>
      <c r="C732" t="s">
        <v>2994</v>
      </c>
      <c r="D732" t="s">
        <v>601</v>
      </c>
    </row>
    <row r="733" spans="1:4" x14ac:dyDescent="0.25">
      <c r="A733" t="s">
        <v>797</v>
      </c>
      <c r="B733" t="s">
        <v>1298</v>
      </c>
      <c r="C733" t="s">
        <v>2995</v>
      </c>
      <c r="D733" t="s">
        <v>601</v>
      </c>
    </row>
    <row r="734" spans="1:4" x14ac:dyDescent="0.25">
      <c r="A734" t="s">
        <v>797</v>
      </c>
      <c r="B734" t="s">
        <v>1356</v>
      </c>
      <c r="C734" t="s">
        <v>2996</v>
      </c>
      <c r="D734" t="s">
        <v>601</v>
      </c>
    </row>
    <row r="735" spans="1:4" x14ac:dyDescent="0.25">
      <c r="A735" t="s">
        <v>797</v>
      </c>
      <c r="B735" t="s">
        <v>1356</v>
      </c>
      <c r="C735" t="s">
        <v>2998</v>
      </c>
      <c r="D735" t="s">
        <v>601</v>
      </c>
    </row>
    <row r="736" spans="1:4" x14ac:dyDescent="0.25">
      <c r="A736" t="s">
        <v>797</v>
      </c>
      <c r="B736" t="s">
        <v>1356</v>
      </c>
      <c r="C736" t="s">
        <v>2999</v>
      </c>
      <c r="D736" t="s">
        <v>601</v>
      </c>
    </row>
    <row r="737" spans="1:4" x14ac:dyDescent="0.25">
      <c r="A737" t="s">
        <v>797</v>
      </c>
      <c r="B737" t="s">
        <v>1357</v>
      </c>
      <c r="C737" t="s">
        <v>2997</v>
      </c>
      <c r="D737" t="s">
        <v>601</v>
      </c>
    </row>
    <row r="738" spans="1:4" x14ac:dyDescent="0.25">
      <c r="A738" t="s">
        <v>797</v>
      </c>
      <c r="B738" t="s">
        <v>1357</v>
      </c>
      <c r="C738" t="s">
        <v>3000</v>
      </c>
      <c r="D738" t="s">
        <v>601</v>
      </c>
    </row>
    <row r="739" spans="1:4" x14ac:dyDescent="0.25">
      <c r="A739" t="s">
        <v>797</v>
      </c>
      <c r="B739" t="s">
        <v>1357</v>
      </c>
      <c r="C739" t="s">
        <v>3001</v>
      </c>
      <c r="D739" t="s">
        <v>601</v>
      </c>
    </row>
    <row r="740" spans="1:4" x14ac:dyDescent="0.25">
      <c r="A740" t="s">
        <v>797</v>
      </c>
      <c r="B740" t="s">
        <v>1358</v>
      </c>
      <c r="C740" t="s">
        <v>3002</v>
      </c>
      <c r="D740" t="s">
        <v>601</v>
      </c>
    </row>
    <row r="741" spans="1:4" x14ac:dyDescent="0.25">
      <c r="A741" t="s">
        <v>797</v>
      </c>
      <c r="B741" t="s">
        <v>1358</v>
      </c>
      <c r="C741" t="s">
        <v>3003</v>
      </c>
      <c r="D741" t="s">
        <v>601</v>
      </c>
    </row>
    <row r="742" spans="1:4" x14ac:dyDescent="0.25">
      <c r="A742" t="s">
        <v>797</v>
      </c>
      <c r="B742" t="s">
        <v>1358</v>
      </c>
      <c r="C742" t="s">
        <v>3004</v>
      </c>
      <c r="D742" t="s">
        <v>601</v>
      </c>
    </row>
    <row r="743" spans="1:4" x14ac:dyDescent="0.25">
      <c r="A743" t="s">
        <v>797</v>
      </c>
      <c r="B743" t="s">
        <v>1359</v>
      </c>
      <c r="C743" t="s">
        <v>3005</v>
      </c>
      <c r="D743" t="s">
        <v>601</v>
      </c>
    </row>
    <row r="744" spans="1:4" x14ac:dyDescent="0.25">
      <c r="A744" t="s">
        <v>797</v>
      </c>
      <c r="B744" t="s">
        <v>1359</v>
      </c>
      <c r="C744" t="s">
        <v>3006</v>
      </c>
      <c r="D744" t="s">
        <v>601</v>
      </c>
    </row>
    <row r="745" spans="1:4" x14ac:dyDescent="0.25">
      <c r="A745" t="s">
        <v>797</v>
      </c>
      <c r="B745" t="s">
        <v>1359</v>
      </c>
      <c r="C745" t="s">
        <v>3007</v>
      </c>
      <c r="D745" t="s">
        <v>601</v>
      </c>
    </row>
    <row r="746" spans="1:4" x14ac:dyDescent="0.25">
      <c r="A746" t="s">
        <v>797</v>
      </c>
      <c r="B746" t="s">
        <v>1288</v>
      </c>
      <c r="C746" t="s">
        <v>3008</v>
      </c>
      <c r="D746" t="s">
        <v>601</v>
      </c>
    </row>
    <row r="747" spans="1:4" x14ac:dyDescent="0.25">
      <c r="A747" t="s">
        <v>797</v>
      </c>
      <c r="B747" t="s">
        <v>1288</v>
      </c>
      <c r="C747" t="s">
        <v>3009</v>
      </c>
      <c r="D747" t="s">
        <v>601</v>
      </c>
    </row>
    <row r="748" spans="1:4" x14ac:dyDescent="0.25">
      <c r="A748" t="s">
        <v>797</v>
      </c>
      <c r="B748" t="s">
        <v>1288</v>
      </c>
      <c r="C748" t="s">
        <v>3010</v>
      </c>
      <c r="D748" t="s">
        <v>601</v>
      </c>
    </row>
    <row r="749" spans="1:4" x14ac:dyDescent="0.25">
      <c r="A749" t="s">
        <v>797</v>
      </c>
      <c r="B749" t="s">
        <v>1360</v>
      </c>
      <c r="C749" t="s">
        <v>3011</v>
      </c>
      <c r="D749" t="s">
        <v>601</v>
      </c>
    </row>
    <row r="750" spans="1:4" x14ac:dyDescent="0.25">
      <c r="A750" t="s">
        <v>797</v>
      </c>
      <c r="B750" t="s">
        <v>1360</v>
      </c>
      <c r="C750" t="s">
        <v>3012</v>
      </c>
      <c r="D750" t="s">
        <v>601</v>
      </c>
    </row>
    <row r="751" spans="1:4" x14ac:dyDescent="0.25">
      <c r="A751" t="s">
        <v>797</v>
      </c>
      <c r="B751" t="s">
        <v>1289</v>
      </c>
      <c r="C751" t="s">
        <v>3013</v>
      </c>
      <c r="D751" t="s">
        <v>601</v>
      </c>
    </row>
    <row r="752" spans="1:4" x14ac:dyDescent="0.25">
      <c r="A752" t="s">
        <v>797</v>
      </c>
      <c r="B752" t="s">
        <v>1289</v>
      </c>
      <c r="C752" t="s">
        <v>3014</v>
      </c>
      <c r="D752" t="s">
        <v>601</v>
      </c>
    </row>
    <row r="753" spans="1:4" x14ac:dyDescent="0.25">
      <c r="A753" t="s">
        <v>797</v>
      </c>
      <c r="B753" t="s">
        <v>1289</v>
      </c>
      <c r="C753" t="s">
        <v>3015</v>
      </c>
      <c r="D753" t="s">
        <v>601</v>
      </c>
    </row>
    <row r="754" spans="1:4" x14ac:dyDescent="0.25">
      <c r="A754" t="s">
        <v>797</v>
      </c>
      <c r="B754" t="s">
        <v>1289</v>
      </c>
      <c r="C754" t="s">
        <v>3016</v>
      </c>
      <c r="D754" t="s">
        <v>601</v>
      </c>
    </row>
    <row r="755" spans="1:4" x14ac:dyDescent="0.25">
      <c r="A755" t="s">
        <v>797</v>
      </c>
      <c r="B755" t="s">
        <v>1290</v>
      </c>
      <c r="C755" t="s">
        <v>3017</v>
      </c>
      <c r="D755" t="s">
        <v>601</v>
      </c>
    </row>
    <row r="756" spans="1:4" x14ac:dyDescent="0.25">
      <c r="A756" t="s">
        <v>797</v>
      </c>
      <c r="B756" t="s">
        <v>1290</v>
      </c>
      <c r="C756" t="s">
        <v>3018</v>
      </c>
      <c r="D756" t="s">
        <v>601</v>
      </c>
    </row>
    <row r="757" spans="1:4" x14ac:dyDescent="0.25">
      <c r="A757" t="s">
        <v>797</v>
      </c>
      <c r="B757" t="s">
        <v>1290</v>
      </c>
      <c r="C757" t="s">
        <v>3019</v>
      </c>
      <c r="D757" t="s">
        <v>601</v>
      </c>
    </row>
    <row r="758" spans="1:4" x14ac:dyDescent="0.25">
      <c r="A758" t="s">
        <v>797</v>
      </c>
      <c r="B758" t="s">
        <v>1291</v>
      </c>
      <c r="C758" t="s">
        <v>3020</v>
      </c>
      <c r="D758" t="s">
        <v>601</v>
      </c>
    </row>
    <row r="759" spans="1:4" x14ac:dyDescent="0.25">
      <c r="A759" t="s">
        <v>797</v>
      </c>
      <c r="B759" t="s">
        <v>1291</v>
      </c>
      <c r="C759" t="s">
        <v>3021</v>
      </c>
      <c r="D759" t="s">
        <v>601</v>
      </c>
    </row>
    <row r="760" spans="1:4" x14ac:dyDescent="0.25">
      <c r="A760" t="s">
        <v>797</v>
      </c>
      <c r="B760" t="s">
        <v>1291</v>
      </c>
      <c r="C760" t="s">
        <v>3022</v>
      </c>
      <c r="D760" t="s">
        <v>601</v>
      </c>
    </row>
    <row r="761" spans="1:4" x14ac:dyDescent="0.25">
      <c r="A761" t="s">
        <v>797</v>
      </c>
      <c r="B761" t="s">
        <v>1291</v>
      </c>
      <c r="C761" t="s">
        <v>3023</v>
      </c>
      <c r="D761" t="s">
        <v>601</v>
      </c>
    </row>
    <row r="762" spans="1:4" x14ac:dyDescent="0.25">
      <c r="A762" t="s">
        <v>797</v>
      </c>
      <c r="B762" t="s">
        <v>1361</v>
      </c>
      <c r="C762" t="s">
        <v>3024</v>
      </c>
      <c r="D762" t="s">
        <v>601</v>
      </c>
    </row>
    <row r="763" spans="1:4" x14ac:dyDescent="0.25">
      <c r="A763" t="s">
        <v>797</v>
      </c>
      <c r="B763" t="s">
        <v>1361</v>
      </c>
      <c r="C763" t="s">
        <v>3025</v>
      </c>
      <c r="D763" t="s">
        <v>601</v>
      </c>
    </row>
    <row r="764" spans="1:4" x14ac:dyDescent="0.25">
      <c r="A764" t="s">
        <v>797</v>
      </c>
      <c r="B764" t="s">
        <v>1361</v>
      </c>
      <c r="C764" t="s">
        <v>3026</v>
      </c>
      <c r="D764" t="s">
        <v>601</v>
      </c>
    </row>
    <row r="765" spans="1:4" x14ac:dyDescent="0.25">
      <c r="A765" t="s">
        <v>797</v>
      </c>
      <c r="B765" t="s">
        <v>1299</v>
      </c>
      <c r="C765" t="s">
        <v>3027</v>
      </c>
      <c r="D765" t="s">
        <v>601</v>
      </c>
    </row>
    <row r="766" spans="1:4" x14ac:dyDescent="0.25">
      <c r="A766" t="s">
        <v>797</v>
      </c>
      <c r="B766" t="s">
        <v>1299</v>
      </c>
      <c r="C766" t="s">
        <v>3028</v>
      </c>
      <c r="D766" t="s">
        <v>601</v>
      </c>
    </row>
    <row r="767" spans="1:4" x14ac:dyDescent="0.25">
      <c r="A767" t="s">
        <v>797</v>
      </c>
      <c r="B767" t="s">
        <v>1299</v>
      </c>
      <c r="C767" t="s">
        <v>3029</v>
      </c>
      <c r="D767" t="s">
        <v>601</v>
      </c>
    </row>
    <row r="768" spans="1:4" x14ac:dyDescent="0.25">
      <c r="A768" t="s">
        <v>797</v>
      </c>
      <c r="B768" t="s">
        <v>1362</v>
      </c>
      <c r="C768" t="s">
        <v>3030</v>
      </c>
      <c r="D768" t="s">
        <v>601</v>
      </c>
    </row>
    <row r="769" spans="1:4" x14ac:dyDescent="0.25">
      <c r="A769" t="s">
        <v>797</v>
      </c>
      <c r="B769" t="s">
        <v>1362</v>
      </c>
      <c r="C769" t="s">
        <v>3031</v>
      </c>
      <c r="D769" t="s">
        <v>601</v>
      </c>
    </row>
    <row r="770" spans="1:4" x14ac:dyDescent="0.25">
      <c r="A770" t="s">
        <v>797</v>
      </c>
      <c r="B770" t="s">
        <v>1362</v>
      </c>
      <c r="C770" t="s">
        <v>3032</v>
      </c>
      <c r="D770" t="s">
        <v>601</v>
      </c>
    </row>
    <row r="771" spans="1:4" x14ac:dyDescent="0.25">
      <c r="A771" t="s">
        <v>797</v>
      </c>
      <c r="B771" t="s">
        <v>1300</v>
      </c>
      <c r="C771" t="s">
        <v>3033</v>
      </c>
      <c r="D771" t="s">
        <v>601</v>
      </c>
    </row>
    <row r="772" spans="1:4" x14ac:dyDescent="0.25">
      <c r="A772" t="s">
        <v>797</v>
      </c>
      <c r="B772" t="s">
        <v>1300</v>
      </c>
      <c r="C772" t="s">
        <v>3034</v>
      </c>
      <c r="D772" t="s">
        <v>601</v>
      </c>
    </row>
    <row r="773" spans="1:4" x14ac:dyDescent="0.25">
      <c r="A773" t="s">
        <v>797</v>
      </c>
      <c r="B773" t="s">
        <v>1300</v>
      </c>
      <c r="C773" t="s">
        <v>3035</v>
      </c>
      <c r="D773" t="s">
        <v>601</v>
      </c>
    </row>
    <row r="774" spans="1:4" x14ac:dyDescent="0.25">
      <c r="A774" t="s">
        <v>798</v>
      </c>
      <c r="B774" t="s">
        <v>1301</v>
      </c>
      <c r="C774" s="3" t="s">
        <v>3036</v>
      </c>
      <c r="D774" t="s">
        <v>601</v>
      </c>
    </row>
    <row r="775" spans="1:4" x14ac:dyDescent="0.25">
      <c r="A775" t="s">
        <v>798</v>
      </c>
      <c r="B775" t="s">
        <v>1314</v>
      </c>
      <c r="C775" t="s">
        <v>3037</v>
      </c>
      <c r="D775" t="s">
        <v>601</v>
      </c>
    </row>
    <row r="776" spans="1:4" x14ac:dyDescent="0.25">
      <c r="A776" t="s">
        <v>798</v>
      </c>
      <c r="B776" t="s">
        <v>1315</v>
      </c>
      <c r="C776" t="s">
        <v>3038</v>
      </c>
      <c r="D776" t="s">
        <v>601</v>
      </c>
    </row>
    <row r="777" spans="1:4" x14ac:dyDescent="0.25">
      <c r="A777" t="s">
        <v>798</v>
      </c>
      <c r="B777" t="s">
        <v>1322</v>
      </c>
      <c r="C777" t="s">
        <v>1702</v>
      </c>
      <c r="D777" t="s">
        <v>601</v>
      </c>
    </row>
    <row r="778" spans="1:4" x14ac:dyDescent="0.25">
      <c r="A778" t="s">
        <v>798</v>
      </c>
      <c r="B778" t="s">
        <v>1322</v>
      </c>
      <c r="C778" t="s">
        <v>1703</v>
      </c>
      <c r="D778" t="s">
        <v>601</v>
      </c>
    </row>
    <row r="779" spans="1:4" x14ac:dyDescent="0.25">
      <c r="A779" t="s">
        <v>798</v>
      </c>
      <c r="B779" t="s">
        <v>1323</v>
      </c>
      <c r="C779" t="s">
        <v>1704</v>
      </c>
      <c r="D779" t="s">
        <v>601</v>
      </c>
    </row>
    <row r="780" spans="1:4" x14ac:dyDescent="0.25">
      <c r="A780" t="s">
        <v>798</v>
      </c>
      <c r="B780" t="s">
        <v>1323</v>
      </c>
      <c r="C780" t="s">
        <v>1705</v>
      </c>
      <c r="D780" t="s">
        <v>601</v>
      </c>
    </row>
    <row r="781" spans="1:4" x14ac:dyDescent="0.25">
      <c r="A781" t="s">
        <v>798</v>
      </c>
      <c r="B781" t="s">
        <v>1324</v>
      </c>
      <c r="C781" t="s">
        <v>3039</v>
      </c>
      <c r="D781" t="s">
        <v>601</v>
      </c>
    </row>
    <row r="782" spans="1:4" x14ac:dyDescent="0.25">
      <c r="A782" t="s">
        <v>798</v>
      </c>
      <c r="B782" t="s">
        <v>1324</v>
      </c>
      <c r="C782" t="s">
        <v>3040</v>
      </c>
      <c r="D782" t="s">
        <v>601</v>
      </c>
    </row>
    <row r="783" spans="1:4" x14ac:dyDescent="0.25">
      <c r="A783" t="s">
        <v>798</v>
      </c>
      <c r="B783" t="s">
        <v>1339</v>
      </c>
      <c r="C783" t="s">
        <v>3041</v>
      </c>
      <c r="D783" t="s">
        <v>601</v>
      </c>
    </row>
    <row r="784" spans="1:4" x14ac:dyDescent="0.25">
      <c r="A784" t="s">
        <v>798</v>
      </c>
      <c r="B784" t="s">
        <v>1339</v>
      </c>
      <c r="C784" t="s">
        <v>3042</v>
      </c>
      <c r="D784" t="s">
        <v>601</v>
      </c>
    </row>
    <row r="785" spans="1:4" x14ac:dyDescent="0.25">
      <c r="A785" t="s">
        <v>798</v>
      </c>
      <c r="B785" t="s">
        <v>1287</v>
      </c>
      <c r="C785" t="s">
        <v>3043</v>
      </c>
      <c r="D785" t="s">
        <v>601</v>
      </c>
    </row>
    <row r="786" spans="1:4" x14ac:dyDescent="0.25">
      <c r="A786" t="s">
        <v>798</v>
      </c>
      <c r="B786" t="s">
        <v>1287</v>
      </c>
      <c r="C786" t="s">
        <v>3044</v>
      </c>
      <c r="D786" t="s">
        <v>601</v>
      </c>
    </row>
    <row r="787" spans="1:4" x14ac:dyDescent="0.25">
      <c r="A787" t="s">
        <v>798</v>
      </c>
      <c r="B787" t="s">
        <v>1296</v>
      </c>
      <c r="C787" t="s">
        <v>3045</v>
      </c>
      <c r="D787" t="s">
        <v>601</v>
      </c>
    </row>
    <row r="788" spans="1:4" x14ac:dyDescent="0.25">
      <c r="A788" t="s">
        <v>798</v>
      </c>
      <c r="B788" t="s">
        <v>1340</v>
      </c>
      <c r="C788" t="s">
        <v>3046</v>
      </c>
      <c r="D788" t="s">
        <v>601</v>
      </c>
    </row>
    <row r="789" spans="1:4" x14ac:dyDescent="0.25">
      <c r="A789" t="s">
        <v>798</v>
      </c>
      <c r="B789" t="s">
        <v>1340</v>
      </c>
      <c r="C789" t="s">
        <v>3047</v>
      </c>
      <c r="D789" t="s">
        <v>601</v>
      </c>
    </row>
    <row r="790" spans="1:4" x14ac:dyDescent="0.25">
      <c r="A790" t="s">
        <v>798</v>
      </c>
      <c r="B790" t="s">
        <v>1297</v>
      </c>
      <c r="C790" t="s">
        <v>3048</v>
      </c>
      <c r="D790" t="s">
        <v>601</v>
      </c>
    </row>
    <row r="791" spans="1:4" x14ac:dyDescent="0.25">
      <c r="A791" t="s">
        <v>798</v>
      </c>
      <c r="B791" t="s">
        <v>1298</v>
      </c>
      <c r="C791" t="s">
        <v>3049</v>
      </c>
      <c r="D791" t="s">
        <v>601</v>
      </c>
    </row>
    <row r="792" spans="1:4" x14ac:dyDescent="0.25">
      <c r="A792" t="s">
        <v>798</v>
      </c>
      <c r="B792" t="s">
        <v>1357</v>
      </c>
      <c r="C792" t="s">
        <v>3051</v>
      </c>
      <c r="D792" t="s">
        <v>601</v>
      </c>
    </row>
    <row r="793" spans="1:4" x14ac:dyDescent="0.25">
      <c r="A793" t="s">
        <v>798</v>
      </c>
      <c r="B793" t="s">
        <v>1358</v>
      </c>
      <c r="C793" t="s">
        <v>3052</v>
      </c>
      <c r="D793" t="s">
        <v>601</v>
      </c>
    </row>
    <row r="794" spans="1:4" x14ac:dyDescent="0.25">
      <c r="A794" t="s">
        <v>798</v>
      </c>
      <c r="B794" t="s">
        <v>1359</v>
      </c>
      <c r="C794" t="s">
        <v>3053</v>
      </c>
      <c r="D794" t="s">
        <v>601</v>
      </c>
    </row>
    <row r="795" spans="1:4" x14ac:dyDescent="0.25">
      <c r="A795" t="s">
        <v>798</v>
      </c>
      <c r="B795" t="s">
        <v>1299</v>
      </c>
      <c r="C795" t="s">
        <v>3050</v>
      </c>
      <c r="D795" t="s">
        <v>601</v>
      </c>
    </row>
  </sheetData>
  <autoFilter ref="A1:G1"/>
  <sortState ref="B73:B256">
    <sortCondition ref="B73:B256"/>
  </sortState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workbookViewId="0">
      <pane ySplit="6" topLeftCell="A7" activePane="bottomLeft" state="frozen"/>
      <selection pane="bottomLeft" activeCell="F11" sqref="F11"/>
    </sheetView>
  </sheetViews>
  <sheetFormatPr defaultRowHeight="15" x14ac:dyDescent="0.25"/>
  <cols>
    <col min="1" max="1" width="12.42578125" style="1" bestFit="1" customWidth="1"/>
    <col min="2" max="2" width="20.85546875" style="1" bestFit="1" customWidth="1"/>
    <col min="3" max="3" width="13" style="9" customWidth="1"/>
    <col min="4" max="4" width="9.140625" style="1"/>
  </cols>
  <sheetData>
    <row r="1" spans="1:4" x14ac:dyDescent="0.25">
      <c r="A1" s="1" t="s">
        <v>2254</v>
      </c>
      <c r="B1" s="1" t="s">
        <v>2255</v>
      </c>
    </row>
    <row r="2" spans="1:4" x14ac:dyDescent="0.25">
      <c r="A2" s="1" t="s">
        <v>2256</v>
      </c>
      <c r="B2" s="1">
        <v>1</v>
      </c>
    </row>
    <row r="3" spans="1:4" x14ac:dyDescent="0.25">
      <c r="A3" s="1" t="s">
        <v>2257</v>
      </c>
      <c r="B3" s="48" t="s">
        <v>2258</v>
      </c>
    </row>
    <row r="6" spans="1:4" s="4" customFormat="1" x14ac:dyDescent="0.25">
      <c r="A6" s="5" t="s">
        <v>1022</v>
      </c>
      <c r="B6" s="5" t="s">
        <v>2253</v>
      </c>
      <c r="C6" s="5" t="s">
        <v>1023</v>
      </c>
      <c r="D6" s="6" t="s">
        <v>1021</v>
      </c>
    </row>
    <row r="7" spans="1:4" x14ac:dyDescent="0.25">
      <c r="A7" s="1">
        <v>1</v>
      </c>
      <c r="C7" s="7" t="s">
        <v>872</v>
      </c>
      <c r="D7" s="8">
        <v>0</v>
      </c>
    </row>
    <row r="8" spans="1:4" x14ac:dyDescent="0.25">
      <c r="A8" s="1">
        <v>1</v>
      </c>
      <c r="C8" s="7" t="s">
        <v>873</v>
      </c>
      <c r="D8" s="8">
        <v>8.8550000000000004</v>
      </c>
    </row>
    <row r="9" spans="1:4" x14ac:dyDescent="0.25">
      <c r="A9" s="1">
        <v>1</v>
      </c>
      <c r="C9" s="7" t="s">
        <v>874</v>
      </c>
      <c r="D9" s="8">
        <v>10.052</v>
      </c>
    </row>
    <row r="10" spans="1:4" x14ac:dyDescent="0.25">
      <c r="A10" s="1">
        <v>1</v>
      </c>
      <c r="C10" s="7" t="s">
        <v>875</v>
      </c>
      <c r="D10" s="8">
        <v>11.898999999999999</v>
      </c>
    </row>
    <row r="11" spans="1:4" x14ac:dyDescent="0.25">
      <c r="A11" s="1">
        <v>1</v>
      </c>
      <c r="C11" s="7" t="s">
        <v>876</v>
      </c>
      <c r="D11" s="8">
        <v>15.631</v>
      </c>
    </row>
    <row r="12" spans="1:4" x14ac:dyDescent="0.25">
      <c r="A12" s="1">
        <v>1</v>
      </c>
      <c r="C12" s="7" t="s">
        <v>877</v>
      </c>
      <c r="D12" s="8">
        <v>16.954999999999998</v>
      </c>
    </row>
    <row r="13" spans="1:4" x14ac:dyDescent="0.25">
      <c r="A13" s="1">
        <v>1</v>
      </c>
      <c r="C13" s="7" t="s">
        <v>878</v>
      </c>
      <c r="D13" s="8">
        <v>17.873999999999999</v>
      </c>
    </row>
    <row r="14" spans="1:4" x14ac:dyDescent="0.25">
      <c r="A14" s="1">
        <v>1</v>
      </c>
      <c r="C14" s="7" t="s">
        <v>879</v>
      </c>
      <c r="D14" s="8">
        <v>19.940999999999999</v>
      </c>
    </row>
    <row r="15" spans="1:4" x14ac:dyDescent="0.25">
      <c r="A15" s="1">
        <v>1</v>
      </c>
      <c r="C15" s="7" t="s">
        <v>880</v>
      </c>
      <c r="D15" s="8">
        <v>54.655999999999999</v>
      </c>
    </row>
    <row r="16" spans="1:4" x14ac:dyDescent="0.25">
      <c r="A16" s="1">
        <v>1</v>
      </c>
      <c r="C16" s="7" t="s">
        <v>881</v>
      </c>
      <c r="D16" s="8">
        <v>58.48</v>
      </c>
    </row>
    <row r="17" spans="1:4" x14ac:dyDescent="0.25">
      <c r="A17" s="1">
        <v>1</v>
      </c>
      <c r="C17" s="7" t="s">
        <v>882</v>
      </c>
      <c r="D17" s="8">
        <v>60.634</v>
      </c>
    </row>
    <row r="18" spans="1:4" x14ac:dyDescent="0.25">
      <c r="A18" s="1">
        <v>1</v>
      </c>
      <c r="C18" s="7" t="s">
        <v>883</v>
      </c>
      <c r="D18" s="8">
        <v>66.034000000000006</v>
      </c>
    </row>
    <row r="19" spans="1:4" x14ac:dyDescent="0.25">
      <c r="A19" s="1">
        <v>1</v>
      </c>
      <c r="C19" s="7" t="s">
        <v>884</v>
      </c>
      <c r="D19" s="8">
        <v>75.701999999999998</v>
      </c>
    </row>
    <row r="20" spans="1:4" x14ac:dyDescent="0.25">
      <c r="A20" s="1">
        <v>1</v>
      </c>
      <c r="C20" s="7" t="s">
        <v>885</v>
      </c>
      <c r="D20" s="8">
        <v>77.725999999999999</v>
      </c>
    </row>
    <row r="21" spans="1:4" x14ac:dyDescent="0.25">
      <c r="A21" s="1">
        <v>1</v>
      </c>
      <c r="C21" s="7" t="s">
        <v>886</v>
      </c>
      <c r="D21" s="8">
        <v>80.596999999999994</v>
      </c>
    </row>
    <row r="22" spans="1:4" x14ac:dyDescent="0.25">
      <c r="A22" s="1">
        <v>1</v>
      </c>
      <c r="C22" s="7" t="s">
        <v>887</v>
      </c>
      <c r="D22" s="8">
        <v>82.081999999999994</v>
      </c>
    </row>
    <row r="23" spans="1:4" x14ac:dyDescent="0.25">
      <c r="A23" s="1">
        <v>1</v>
      </c>
      <c r="C23" s="7" t="s">
        <v>888</v>
      </c>
      <c r="D23" s="8">
        <v>82.879000000000005</v>
      </c>
    </row>
    <row r="24" spans="1:4" x14ac:dyDescent="0.25">
      <c r="A24" s="1">
        <v>1</v>
      </c>
      <c r="C24" s="7" t="s">
        <v>889</v>
      </c>
      <c r="D24" s="8">
        <v>85.418000000000006</v>
      </c>
    </row>
    <row r="25" spans="1:4" x14ac:dyDescent="0.25">
      <c r="A25" s="1">
        <v>1</v>
      </c>
      <c r="C25" s="7" t="s">
        <v>890</v>
      </c>
      <c r="D25" s="8">
        <v>93.286000000000001</v>
      </c>
    </row>
    <row r="26" spans="1:4" x14ac:dyDescent="0.25">
      <c r="A26" s="1">
        <v>1</v>
      </c>
      <c r="C26" s="7" t="s">
        <v>891</v>
      </c>
      <c r="D26" s="8">
        <v>106.813</v>
      </c>
    </row>
    <row r="27" spans="1:4" x14ac:dyDescent="0.25">
      <c r="A27" s="1">
        <v>1</v>
      </c>
      <c r="C27" s="7" t="s">
        <v>892</v>
      </c>
      <c r="D27" s="8">
        <v>117.774</v>
      </c>
    </row>
    <row r="28" spans="1:4" x14ac:dyDescent="0.25">
      <c r="A28" s="1">
        <v>1</v>
      </c>
      <c r="C28" s="7" t="s">
        <v>893</v>
      </c>
      <c r="D28" s="8">
        <v>123.753</v>
      </c>
    </row>
    <row r="29" spans="1:4" x14ac:dyDescent="0.25">
      <c r="A29" s="1">
        <v>1</v>
      </c>
      <c r="C29" s="7" t="s">
        <v>894</v>
      </c>
      <c r="D29" s="8">
        <v>124.705</v>
      </c>
    </row>
    <row r="30" spans="1:4" x14ac:dyDescent="0.25">
      <c r="A30" s="1">
        <v>1</v>
      </c>
      <c r="C30" s="7" t="s">
        <v>895</v>
      </c>
      <c r="D30" s="8">
        <v>126.578</v>
      </c>
    </row>
    <row r="31" spans="1:4" x14ac:dyDescent="0.25">
      <c r="A31" s="1">
        <v>1</v>
      </c>
      <c r="C31" s="7" t="s">
        <v>896</v>
      </c>
      <c r="D31" s="8">
        <v>128.339</v>
      </c>
    </row>
    <row r="32" spans="1:4" x14ac:dyDescent="0.25">
      <c r="A32" s="1">
        <v>1</v>
      </c>
      <c r="C32" s="7" t="s">
        <v>897</v>
      </c>
      <c r="D32" s="8">
        <v>132.83799999999999</v>
      </c>
    </row>
    <row r="33" spans="1:4" x14ac:dyDescent="0.25">
      <c r="A33" s="1">
        <v>1</v>
      </c>
      <c r="C33" s="7" t="s">
        <v>898</v>
      </c>
      <c r="D33" s="8">
        <v>135.285</v>
      </c>
    </row>
    <row r="34" spans="1:4" x14ac:dyDescent="0.25">
      <c r="A34" s="1">
        <v>2</v>
      </c>
      <c r="C34" s="7" t="s">
        <v>803</v>
      </c>
      <c r="D34" s="8">
        <v>0</v>
      </c>
    </row>
    <row r="35" spans="1:4" x14ac:dyDescent="0.25">
      <c r="A35" s="1">
        <v>2</v>
      </c>
      <c r="C35" s="7" t="s">
        <v>804</v>
      </c>
      <c r="D35" s="8">
        <v>0.85399999999999998</v>
      </c>
    </row>
    <row r="36" spans="1:4" x14ac:dyDescent="0.25">
      <c r="A36" s="1">
        <v>2</v>
      </c>
      <c r="C36" s="7" t="s">
        <v>805</v>
      </c>
      <c r="D36" s="8">
        <v>11.590999999999999</v>
      </c>
    </row>
    <row r="37" spans="1:4" x14ac:dyDescent="0.25">
      <c r="A37" s="1">
        <v>2</v>
      </c>
      <c r="C37" s="7" t="s">
        <v>806</v>
      </c>
      <c r="D37" s="8">
        <v>15.388999999999999</v>
      </c>
    </row>
    <row r="38" spans="1:4" x14ac:dyDescent="0.25">
      <c r="A38" s="1">
        <v>2</v>
      </c>
      <c r="C38" s="7" t="s">
        <v>807</v>
      </c>
      <c r="D38" s="8">
        <v>16.268000000000001</v>
      </c>
    </row>
    <row r="39" spans="1:4" x14ac:dyDescent="0.25">
      <c r="A39" s="1">
        <v>2</v>
      </c>
      <c r="C39" s="7" t="s">
        <v>808</v>
      </c>
      <c r="D39" s="8">
        <v>28.829000000000001</v>
      </c>
    </row>
    <row r="40" spans="1:4" x14ac:dyDescent="0.25">
      <c r="A40" s="1">
        <v>2</v>
      </c>
      <c r="C40" s="7" t="s">
        <v>809</v>
      </c>
      <c r="D40" s="8">
        <v>29.876000000000001</v>
      </c>
    </row>
    <row r="41" spans="1:4" x14ac:dyDescent="0.25">
      <c r="A41" s="1">
        <v>2</v>
      </c>
      <c r="C41" s="7" t="s">
        <v>810</v>
      </c>
      <c r="D41" s="8">
        <v>46.587000000000003</v>
      </c>
    </row>
    <row r="42" spans="1:4" x14ac:dyDescent="0.25">
      <c r="A42" s="1">
        <v>2</v>
      </c>
      <c r="C42" s="7" t="s">
        <v>811</v>
      </c>
      <c r="D42" s="8">
        <v>47.469000000000001</v>
      </c>
    </row>
    <row r="43" spans="1:4" x14ac:dyDescent="0.25">
      <c r="A43" s="1">
        <v>2</v>
      </c>
      <c r="C43" s="7" t="s">
        <v>812</v>
      </c>
      <c r="D43" s="8">
        <v>51.847999999999999</v>
      </c>
    </row>
    <row r="44" spans="1:4" x14ac:dyDescent="0.25">
      <c r="A44" s="1">
        <v>2</v>
      </c>
      <c r="C44" s="7" t="s">
        <v>813</v>
      </c>
      <c r="D44" s="8">
        <v>54.055</v>
      </c>
    </row>
    <row r="45" spans="1:4" x14ac:dyDescent="0.25">
      <c r="A45" s="1">
        <v>2</v>
      </c>
      <c r="C45" s="7" t="s">
        <v>814</v>
      </c>
      <c r="D45" s="8">
        <v>58.030999999999999</v>
      </c>
    </row>
    <row r="46" spans="1:4" x14ac:dyDescent="0.25">
      <c r="A46" s="1">
        <v>2</v>
      </c>
      <c r="C46" s="7" t="s">
        <v>815</v>
      </c>
      <c r="D46" s="8">
        <v>69.576999999999998</v>
      </c>
    </row>
    <row r="47" spans="1:4" x14ac:dyDescent="0.25">
      <c r="A47" s="1">
        <v>2</v>
      </c>
      <c r="C47" s="7" t="s">
        <v>816</v>
      </c>
      <c r="D47" s="8">
        <v>74.039000000000001</v>
      </c>
    </row>
    <row r="48" spans="1:4" x14ac:dyDescent="0.25">
      <c r="A48" s="1">
        <v>2</v>
      </c>
      <c r="C48" s="7" t="s">
        <v>817</v>
      </c>
      <c r="D48" s="8">
        <v>81.081999999999994</v>
      </c>
    </row>
    <row r="49" spans="1:4" x14ac:dyDescent="0.25">
      <c r="A49" s="1">
        <v>2</v>
      </c>
      <c r="C49" s="7" t="s">
        <v>818</v>
      </c>
      <c r="D49" s="8">
        <v>81.897999999999996</v>
      </c>
    </row>
    <row r="50" spans="1:4" x14ac:dyDescent="0.25">
      <c r="A50" s="1">
        <v>2</v>
      </c>
      <c r="C50" s="7" t="s">
        <v>819</v>
      </c>
      <c r="D50" s="8">
        <v>98.58</v>
      </c>
    </row>
    <row r="51" spans="1:4" x14ac:dyDescent="0.25">
      <c r="A51" s="1">
        <v>2</v>
      </c>
      <c r="C51" s="7" t="s">
        <v>820</v>
      </c>
      <c r="D51" s="8">
        <v>100.611</v>
      </c>
    </row>
    <row r="52" spans="1:4" x14ac:dyDescent="0.25">
      <c r="A52" s="1">
        <v>2</v>
      </c>
      <c r="C52" s="7" t="s">
        <v>821</v>
      </c>
      <c r="D52" s="8">
        <v>101.657</v>
      </c>
    </row>
    <row r="53" spans="1:4" x14ac:dyDescent="0.25">
      <c r="A53" s="1">
        <v>2</v>
      </c>
      <c r="C53" s="7" t="s">
        <v>822</v>
      </c>
      <c r="D53" s="8">
        <v>114.42</v>
      </c>
    </row>
    <row r="54" spans="1:4" x14ac:dyDescent="0.25">
      <c r="A54" s="1" t="s">
        <v>1024</v>
      </c>
      <c r="C54" s="7" t="s">
        <v>937</v>
      </c>
      <c r="D54" s="8">
        <v>0</v>
      </c>
    </row>
    <row r="55" spans="1:4" x14ac:dyDescent="0.25">
      <c r="A55" s="1" t="s">
        <v>1024</v>
      </c>
      <c r="C55" s="7" t="s">
        <v>938</v>
      </c>
      <c r="D55" s="8">
        <v>5.6429999999999998</v>
      </c>
    </row>
    <row r="56" spans="1:4" x14ac:dyDescent="0.25">
      <c r="A56" s="1" t="s">
        <v>1024</v>
      </c>
      <c r="C56" s="7" t="s">
        <v>939</v>
      </c>
      <c r="D56" s="8">
        <v>12.036</v>
      </c>
    </row>
    <row r="57" spans="1:4" x14ac:dyDescent="0.25">
      <c r="A57" s="1" t="s">
        <v>1024</v>
      </c>
      <c r="C57" s="7" t="s">
        <v>940</v>
      </c>
      <c r="D57" s="8">
        <v>24.971</v>
      </c>
    </row>
    <row r="58" spans="1:4" x14ac:dyDescent="0.25">
      <c r="A58" s="1" t="s">
        <v>1024</v>
      </c>
      <c r="C58" s="7" t="s">
        <v>941</v>
      </c>
      <c r="D58" s="8">
        <v>27.683</v>
      </c>
    </row>
    <row r="59" spans="1:4" x14ac:dyDescent="0.25">
      <c r="A59" s="1" t="s">
        <v>1024</v>
      </c>
      <c r="C59" s="7" t="s">
        <v>942</v>
      </c>
      <c r="D59" s="8">
        <v>28.498999999999999</v>
      </c>
    </row>
    <row r="60" spans="1:4" x14ac:dyDescent="0.25">
      <c r="A60" s="1" t="s">
        <v>1024</v>
      </c>
      <c r="C60" s="7" t="s">
        <v>943</v>
      </c>
      <c r="D60" s="8">
        <v>29.378</v>
      </c>
    </row>
    <row r="61" spans="1:4" x14ac:dyDescent="0.25">
      <c r="A61" s="1" t="s">
        <v>1024</v>
      </c>
      <c r="C61" s="7" t="s">
        <v>944</v>
      </c>
      <c r="D61" s="8">
        <v>30.939</v>
      </c>
    </row>
    <row r="62" spans="1:4" x14ac:dyDescent="0.25">
      <c r="A62" s="1" t="s">
        <v>1024</v>
      </c>
      <c r="C62" s="7" t="s">
        <v>945</v>
      </c>
      <c r="D62" s="8">
        <v>35.521000000000001</v>
      </c>
    </row>
    <row r="63" spans="1:4" x14ac:dyDescent="0.25">
      <c r="A63" s="1" t="s">
        <v>1024</v>
      </c>
      <c r="C63" s="7" t="s">
        <v>946</v>
      </c>
      <c r="D63" s="8">
        <v>37.024000000000001</v>
      </c>
    </row>
    <row r="64" spans="1:4" x14ac:dyDescent="0.25">
      <c r="A64" s="1" t="s">
        <v>1024</v>
      </c>
      <c r="C64" s="7" t="s">
        <v>947</v>
      </c>
      <c r="D64" s="8">
        <v>44.984999999999999</v>
      </c>
    </row>
    <row r="65" spans="1:4" x14ac:dyDescent="0.25">
      <c r="A65" s="1" t="s">
        <v>1024</v>
      </c>
      <c r="C65" s="7" t="s">
        <v>948</v>
      </c>
      <c r="D65" s="8">
        <v>50.67</v>
      </c>
    </row>
    <row r="66" spans="1:4" x14ac:dyDescent="0.25">
      <c r="A66" s="1" t="s">
        <v>1024</v>
      </c>
      <c r="C66" s="7" t="s">
        <v>949</v>
      </c>
      <c r="D66" s="8">
        <v>51.712000000000003</v>
      </c>
    </row>
    <row r="67" spans="1:4" x14ac:dyDescent="0.25">
      <c r="A67" s="1" t="s">
        <v>1024</v>
      </c>
      <c r="C67" s="7" t="s">
        <v>950</v>
      </c>
      <c r="D67" s="8">
        <v>52.502000000000002</v>
      </c>
    </row>
    <row r="68" spans="1:4" x14ac:dyDescent="0.25">
      <c r="A68" s="1" t="s">
        <v>1024</v>
      </c>
      <c r="C68" s="7" t="s">
        <v>951</v>
      </c>
      <c r="D68" s="8">
        <v>54.107999999999997</v>
      </c>
    </row>
    <row r="69" spans="1:4" x14ac:dyDescent="0.25">
      <c r="A69" s="1" t="s">
        <v>1024</v>
      </c>
      <c r="C69" s="7" t="s">
        <v>952</v>
      </c>
      <c r="D69" s="8">
        <v>55.622999999999998</v>
      </c>
    </row>
    <row r="70" spans="1:4" x14ac:dyDescent="0.25">
      <c r="A70" s="1" t="s">
        <v>1024</v>
      </c>
      <c r="C70" s="7" t="s">
        <v>953</v>
      </c>
      <c r="D70" s="8">
        <v>60.118000000000002</v>
      </c>
    </row>
    <row r="71" spans="1:4" x14ac:dyDescent="0.25">
      <c r="A71" s="1" t="s">
        <v>1025</v>
      </c>
      <c r="C71" s="7" t="s">
        <v>954</v>
      </c>
      <c r="D71" s="8">
        <v>0</v>
      </c>
    </row>
    <row r="72" spans="1:4" x14ac:dyDescent="0.25">
      <c r="A72" s="1" t="s">
        <v>1025</v>
      </c>
      <c r="C72" s="7" t="s">
        <v>955</v>
      </c>
      <c r="D72" s="8">
        <v>0.73399999999999999</v>
      </c>
    </row>
    <row r="73" spans="1:4" x14ac:dyDescent="0.25">
      <c r="A73" s="1" t="s">
        <v>1025</v>
      </c>
      <c r="C73" s="7" t="s">
        <v>956</v>
      </c>
      <c r="D73" s="8">
        <v>0.94299999999999995</v>
      </c>
    </row>
    <row r="74" spans="1:4" x14ac:dyDescent="0.25">
      <c r="A74" s="1" t="s">
        <v>1025</v>
      </c>
      <c r="C74" s="7" t="s">
        <v>957</v>
      </c>
      <c r="D74" s="8">
        <v>1.0980000000000001</v>
      </c>
    </row>
    <row r="75" spans="1:4" x14ac:dyDescent="0.25">
      <c r="A75" s="1" t="s">
        <v>1025</v>
      </c>
      <c r="C75" s="7" t="s">
        <v>958</v>
      </c>
      <c r="D75" s="8">
        <v>2.532</v>
      </c>
    </row>
    <row r="76" spans="1:4" x14ac:dyDescent="0.25">
      <c r="A76" s="1" t="s">
        <v>1025</v>
      </c>
      <c r="C76" s="7" t="s">
        <v>959</v>
      </c>
      <c r="D76" s="8">
        <v>7.476</v>
      </c>
    </row>
    <row r="77" spans="1:4" x14ac:dyDescent="0.25">
      <c r="A77" s="1">
        <v>4</v>
      </c>
      <c r="C77" s="7" t="s">
        <v>1001</v>
      </c>
      <c r="D77" s="8">
        <v>0</v>
      </c>
    </row>
    <row r="78" spans="1:4" x14ac:dyDescent="0.25">
      <c r="A78" s="1">
        <v>4</v>
      </c>
      <c r="C78" s="7" t="s">
        <v>1002</v>
      </c>
      <c r="D78" s="8">
        <v>1.6619999999999999</v>
      </c>
    </row>
    <row r="79" spans="1:4" x14ac:dyDescent="0.25">
      <c r="A79" s="1">
        <v>4</v>
      </c>
      <c r="C79" s="7" t="s">
        <v>1003</v>
      </c>
      <c r="D79" s="8">
        <v>15.05</v>
      </c>
    </row>
    <row r="80" spans="1:4" x14ac:dyDescent="0.25">
      <c r="A80" s="1">
        <v>4</v>
      </c>
      <c r="C80" s="7" t="s">
        <v>1004</v>
      </c>
      <c r="D80" s="8">
        <v>19.661000000000001</v>
      </c>
    </row>
    <row r="81" spans="1:4" x14ac:dyDescent="0.25">
      <c r="A81" s="1">
        <v>4</v>
      </c>
      <c r="C81" s="7" t="s">
        <v>1005</v>
      </c>
      <c r="D81" s="8">
        <v>22.920999999999999</v>
      </c>
    </row>
    <row r="82" spans="1:4" x14ac:dyDescent="0.25">
      <c r="A82" s="1">
        <v>4</v>
      </c>
      <c r="C82" s="7" t="s">
        <v>1006</v>
      </c>
      <c r="D82" s="8">
        <v>24.664000000000001</v>
      </c>
    </row>
    <row r="83" spans="1:4" x14ac:dyDescent="0.25">
      <c r="A83" s="1">
        <v>4</v>
      </c>
      <c r="C83" s="7" t="s">
        <v>1007</v>
      </c>
      <c r="D83" s="8">
        <v>30.23</v>
      </c>
    </row>
    <row r="84" spans="1:4" x14ac:dyDescent="0.25">
      <c r="A84" s="1">
        <v>4</v>
      </c>
      <c r="C84" s="7" t="s">
        <v>1008</v>
      </c>
      <c r="D84" s="8">
        <v>35.890999999999998</v>
      </c>
    </row>
    <row r="85" spans="1:4" x14ac:dyDescent="0.25">
      <c r="A85" s="1">
        <v>4</v>
      </c>
      <c r="C85" s="7" t="s">
        <v>1009</v>
      </c>
      <c r="D85" s="8">
        <v>39.802</v>
      </c>
    </row>
    <row r="86" spans="1:4" x14ac:dyDescent="0.25">
      <c r="A86" s="1">
        <v>4</v>
      </c>
      <c r="C86" s="7" t="s">
        <v>1010</v>
      </c>
      <c r="D86" s="8">
        <v>51.093000000000004</v>
      </c>
    </row>
    <row r="87" spans="1:4" x14ac:dyDescent="0.25">
      <c r="A87" s="1">
        <v>4</v>
      </c>
      <c r="C87" s="7" t="s">
        <v>1011</v>
      </c>
      <c r="D87" s="8">
        <v>51.738999999999997</v>
      </c>
    </row>
    <row r="88" spans="1:4" x14ac:dyDescent="0.25">
      <c r="A88" s="1">
        <v>4</v>
      </c>
      <c r="C88" s="7" t="s">
        <v>1012</v>
      </c>
      <c r="D88" s="8">
        <v>52.598999999999997</v>
      </c>
    </row>
    <row r="89" spans="1:4" x14ac:dyDescent="0.25">
      <c r="A89" s="1">
        <v>4</v>
      </c>
      <c r="C89" s="7" t="s">
        <v>1013</v>
      </c>
      <c r="D89" s="8">
        <v>59.194000000000003</v>
      </c>
    </row>
    <row r="90" spans="1:4" x14ac:dyDescent="0.25">
      <c r="A90" s="1">
        <v>4</v>
      </c>
      <c r="C90" s="7" t="s">
        <v>1014</v>
      </c>
      <c r="D90" s="8">
        <v>60.314999999999998</v>
      </c>
    </row>
    <row r="91" spans="1:4" x14ac:dyDescent="0.25">
      <c r="A91" s="1">
        <v>4</v>
      </c>
      <c r="C91" s="7" t="s">
        <v>1015</v>
      </c>
      <c r="D91" s="8">
        <v>63.889000000000003</v>
      </c>
    </row>
    <row r="92" spans="1:4" x14ac:dyDescent="0.25">
      <c r="A92" s="1">
        <v>4</v>
      </c>
      <c r="C92" s="7" t="s">
        <v>1016</v>
      </c>
      <c r="D92" s="8">
        <v>94.658000000000001</v>
      </c>
    </row>
    <row r="93" spans="1:4" x14ac:dyDescent="0.25">
      <c r="A93" s="1">
        <v>4</v>
      </c>
      <c r="C93" s="7" t="s">
        <v>1017</v>
      </c>
      <c r="D93" s="8">
        <v>97.891999999999996</v>
      </c>
    </row>
    <row r="94" spans="1:4" x14ac:dyDescent="0.25">
      <c r="A94" s="1">
        <v>4</v>
      </c>
      <c r="C94" s="7" t="s">
        <v>1018</v>
      </c>
      <c r="D94" s="8">
        <v>99.256</v>
      </c>
    </row>
    <row r="95" spans="1:4" x14ac:dyDescent="0.25">
      <c r="A95" s="1">
        <v>4</v>
      </c>
      <c r="C95" s="7" t="s">
        <v>1019</v>
      </c>
      <c r="D95" s="8">
        <v>104.286</v>
      </c>
    </row>
    <row r="96" spans="1:4" x14ac:dyDescent="0.25">
      <c r="A96" s="1">
        <v>4</v>
      </c>
      <c r="C96" s="7" t="s">
        <v>1020</v>
      </c>
      <c r="D96" s="8">
        <v>104.952</v>
      </c>
    </row>
    <row r="97" spans="1:4" x14ac:dyDescent="0.25">
      <c r="A97" s="1">
        <v>5</v>
      </c>
      <c r="C97" s="7" t="s">
        <v>823</v>
      </c>
      <c r="D97" s="8">
        <v>0</v>
      </c>
    </row>
    <row r="98" spans="1:4" x14ac:dyDescent="0.25">
      <c r="A98" s="1">
        <v>5</v>
      </c>
      <c r="C98" s="7" t="s">
        <v>824</v>
      </c>
      <c r="D98" s="8">
        <v>1.47</v>
      </c>
    </row>
    <row r="99" spans="1:4" x14ac:dyDescent="0.25">
      <c r="A99" s="1">
        <v>5</v>
      </c>
      <c r="C99" s="7" t="s">
        <v>825</v>
      </c>
      <c r="D99" s="8">
        <v>4.79</v>
      </c>
    </row>
    <row r="100" spans="1:4" x14ac:dyDescent="0.25">
      <c r="A100" s="1">
        <v>5</v>
      </c>
      <c r="C100" s="7" t="s">
        <v>826</v>
      </c>
      <c r="D100" s="8">
        <v>15.750999999999999</v>
      </c>
    </row>
    <row r="101" spans="1:4" x14ac:dyDescent="0.25">
      <c r="A101" s="1">
        <v>5</v>
      </c>
      <c r="C101" s="7" t="s">
        <v>827</v>
      </c>
      <c r="D101" s="8">
        <v>19.754999999999999</v>
      </c>
    </row>
    <row r="102" spans="1:4" x14ac:dyDescent="0.25">
      <c r="A102" s="1">
        <v>5</v>
      </c>
      <c r="C102" s="7" t="s">
        <v>828</v>
      </c>
      <c r="D102" s="8">
        <v>21.317</v>
      </c>
    </row>
    <row r="103" spans="1:4" x14ac:dyDescent="0.25">
      <c r="A103" s="1">
        <v>5</v>
      </c>
      <c r="C103" s="7" t="s">
        <v>829</v>
      </c>
      <c r="D103" s="8">
        <v>37.165999999999997</v>
      </c>
    </row>
    <row r="104" spans="1:4" x14ac:dyDescent="0.25">
      <c r="A104" s="1">
        <v>5</v>
      </c>
      <c r="C104" s="7" t="s">
        <v>830</v>
      </c>
      <c r="D104" s="8">
        <v>38.569000000000003</v>
      </c>
    </row>
    <row r="105" spans="1:4" x14ac:dyDescent="0.25">
      <c r="A105" s="1">
        <v>5</v>
      </c>
      <c r="C105" s="7" t="s">
        <v>831</v>
      </c>
      <c r="D105" s="8">
        <v>41.374000000000002</v>
      </c>
    </row>
    <row r="106" spans="1:4" x14ac:dyDescent="0.25">
      <c r="A106" s="1">
        <v>5</v>
      </c>
      <c r="C106" s="7" t="s">
        <v>832</v>
      </c>
      <c r="D106" s="8">
        <v>42.491999999999997</v>
      </c>
    </row>
    <row r="107" spans="1:4" x14ac:dyDescent="0.25">
      <c r="A107" s="1">
        <v>5</v>
      </c>
      <c r="C107" s="7" t="s">
        <v>833</v>
      </c>
      <c r="D107" s="8">
        <v>53.344999999999999</v>
      </c>
    </row>
    <row r="108" spans="1:4" x14ac:dyDescent="0.25">
      <c r="A108" s="1">
        <v>5</v>
      </c>
      <c r="C108" s="7" t="s">
        <v>834</v>
      </c>
      <c r="D108" s="8">
        <v>63.649000000000001</v>
      </c>
    </row>
    <row r="109" spans="1:4" x14ac:dyDescent="0.25">
      <c r="A109" s="1">
        <v>5</v>
      </c>
      <c r="C109" s="7" t="s">
        <v>835</v>
      </c>
      <c r="D109" s="8">
        <v>76.405000000000001</v>
      </c>
    </row>
    <row r="110" spans="1:4" x14ac:dyDescent="0.25">
      <c r="A110" s="1">
        <v>5</v>
      </c>
      <c r="C110" s="7" t="s">
        <v>836</v>
      </c>
      <c r="D110" s="8">
        <v>77.281999999999996</v>
      </c>
    </row>
    <row r="111" spans="1:4" x14ac:dyDescent="0.25">
      <c r="A111" s="1">
        <v>5</v>
      </c>
      <c r="C111" s="7" t="s">
        <v>837</v>
      </c>
      <c r="D111" s="8">
        <v>84.031999999999996</v>
      </c>
    </row>
    <row r="112" spans="1:4" x14ac:dyDescent="0.25">
      <c r="A112" s="1">
        <v>5</v>
      </c>
      <c r="C112" s="7" t="s">
        <v>838</v>
      </c>
      <c r="D112" s="8">
        <v>84.894000000000005</v>
      </c>
    </row>
    <row r="113" spans="1:4" x14ac:dyDescent="0.25">
      <c r="A113" s="1">
        <v>5</v>
      </c>
      <c r="C113" s="7" t="s">
        <v>839</v>
      </c>
      <c r="D113" s="8">
        <v>91.441000000000003</v>
      </c>
    </row>
    <row r="114" spans="1:4" x14ac:dyDescent="0.25">
      <c r="A114" s="1" t="s">
        <v>1026</v>
      </c>
      <c r="C114" s="7" t="s">
        <v>899</v>
      </c>
      <c r="D114" s="8">
        <v>0</v>
      </c>
    </row>
    <row r="115" spans="1:4" x14ac:dyDescent="0.25">
      <c r="A115" s="1" t="s">
        <v>1026</v>
      </c>
      <c r="C115" s="7" t="s">
        <v>900</v>
      </c>
      <c r="D115" s="8">
        <v>4.8380000000000001</v>
      </c>
    </row>
    <row r="116" spans="1:4" x14ac:dyDescent="0.25">
      <c r="A116" s="1" t="s">
        <v>1026</v>
      </c>
      <c r="C116" s="7" t="s">
        <v>901</v>
      </c>
      <c r="D116" s="8">
        <v>5.7640000000000002</v>
      </c>
    </row>
    <row r="117" spans="1:4" x14ac:dyDescent="0.25">
      <c r="A117" s="1" t="s">
        <v>1026</v>
      </c>
      <c r="C117" s="7" t="s">
        <v>902</v>
      </c>
      <c r="D117" s="8">
        <v>7.899</v>
      </c>
    </row>
    <row r="118" spans="1:4" x14ac:dyDescent="0.25">
      <c r="A118" s="1" t="s">
        <v>1026</v>
      </c>
      <c r="C118" s="7" t="s">
        <v>903</v>
      </c>
      <c r="D118" s="8">
        <v>20.257999999999999</v>
      </c>
    </row>
    <row r="119" spans="1:4" x14ac:dyDescent="0.25">
      <c r="A119" s="1" t="s">
        <v>1026</v>
      </c>
      <c r="C119" s="7" t="s">
        <v>904</v>
      </c>
      <c r="D119" s="8">
        <v>32.496000000000002</v>
      </c>
    </row>
    <row r="120" spans="1:4" x14ac:dyDescent="0.25">
      <c r="A120" s="1" t="s">
        <v>1026</v>
      </c>
      <c r="C120" s="7" t="s">
        <v>905</v>
      </c>
      <c r="D120" s="8">
        <v>39.241999999999997</v>
      </c>
    </row>
    <row r="121" spans="1:4" x14ac:dyDescent="0.25">
      <c r="A121" s="1" t="s">
        <v>1026</v>
      </c>
      <c r="C121" s="7" t="s">
        <v>906</v>
      </c>
      <c r="D121" s="8">
        <v>45.621000000000002</v>
      </c>
    </row>
    <row r="122" spans="1:4" x14ac:dyDescent="0.25">
      <c r="A122" s="1" t="s">
        <v>1026</v>
      </c>
      <c r="C122" s="7" t="s">
        <v>907</v>
      </c>
      <c r="D122" s="8">
        <v>55.417999999999999</v>
      </c>
    </row>
    <row r="123" spans="1:4" x14ac:dyDescent="0.25">
      <c r="A123" s="1" t="s">
        <v>1026</v>
      </c>
      <c r="C123" s="7" t="s">
        <v>908</v>
      </c>
      <c r="D123" s="8">
        <v>59.756999999999998</v>
      </c>
    </row>
    <row r="124" spans="1:4" x14ac:dyDescent="0.25">
      <c r="A124" s="1" t="s">
        <v>1026</v>
      </c>
      <c r="C124" s="7" t="s">
        <v>909</v>
      </c>
      <c r="D124" s="8">
        <v>61.197000000000003</v>
      </c>
    </row>
    <row r="125" spans="1:4" x14ac:dyDescent="0.25">
      <c r="A125" s="1" t="s">
        <v>1026</v>
      </c>
      <c r="C125" s="7" t="s">
        <v>910</v>
      </c>
      <c r="D125" s="8">
        <v>62.222999999999999</v>
      </c>
    </row>
    <row r="126" spans="1:4" x14ac:dyDescent="0.25">
      <c r="A126" s="1" t="s">
        <v>1026</v>
      </c>
      <c r="C126" s="7" t="s">
        <v>911</v>
      </c>
      <c r="D126" s="8">
        <v>64.396000000000001</v>
      </c>
    </row>
    <row r="127" spans="1:4" x14ac:dyDescent="0.25">
      <c r="A127" s="1" t="s">
        <v>1026</v>
      </c>
      <c r="C127" s="7" t="s">
        <v>912</v>
      </c>
      <c r="D127" s="8">
        <v>68.046000000000006</v>
      </c>
    </row>
    <row r="128" spans="1:4" x14ac:dyDescent="0.25">
      <c r="A128" s="1" t="s">
        <v>1027</v>
      </c>
      <c r="C128" s="7" t="s">
        <v>913</v>
      </c>
      <c r="D128" s="8">
        <v>0</v>
      </c>
    </row>
    <row r="129" spans="1:4" x14ac:dyDescent="0.25">
      <c r="A129" s="1" t="s">
        <v>1027</v>
      </c>
      <c r="C129" s="7" t="s">
        <v>914</v>
      </c>
      <c r="D129" s="8">
        <v>2.2320000000000002</v>
      </c>
    </row>
    <row r="130" spans="1:4" x14ac:dyDescent="0.25">
      <c r="A130" s="1" t="s">
        <v>1027</v>
      </c>
      <c r="C130" s="7" t="s">
        <v>915</v>
      </c>
      <c r="D130" s="8">
        <v>4.9740000000000002</v>
      </c>
    </row>
    <row r="131" spans="1:4" x14ac:dyDescent="0.25">
      <c r="A131" s="1" t="s">
        <v>1027</v>
      </c>
      <c r="C131" s="7" t="s">
        <v>916</v>
      </c>
      <c r="D131" s="8">
        <v>5.569</v>
      </c>
    </row>
    <row r="132" spans="1:4" x14ac:dyDescent="0.25">
      <c r="A132" s="1" t="s">
        <v>1027</v>
      </c>
      <c r="C132" s="7" t="s">
        <v>917</v>
      </c>
      <c r="D132" s="8">
        <v>7.03</v>
      </c>
    </row>
    <row r="133" spans="1:4" x14ac:dyDescent="0.25">
      <c r="A133" s="1" t="s">
        <v>1027</v>
      </c>
      <c r="C133" s="7" t="s">
        <v>918</v>
      </c>
      <c r="D133" s="8">
        <v>10.128</v>
      </c>
    </row>
    <row r="134" spans="1:4" x14ac:dyDescent="0.25">
      <c r="A134" s="1" t="s">
        <v>1027</v>
      </c>
      <c r="C134" s="7" t="s">
        <v>919</v>
      </c>
      <c r="D134" s="8">
        <v>11.079000000000001</v>
      </c>
    </row>
    <row r="135" spans="1:4" x14ac:dyDescent="0.25">
      <c r="A135" s="1" t="s">
        <v>1027</v>
      </c>
      <c r="C135" s="7" t="s">
        <v>920</v>
      </c>
      <c r="D135" s="8">
        <v>16.234000000000002</v>
      </c>
    </row>
    <row r="136" spans="1:4" x14ac:dyDescent="0.25">
      <c r="A136" s="1">
        <v>7</v>
      </c>
      <c r="C136" s="7" t="s">
        <v>978</v>
      </c>
      <c r="D136" s="8">
        <v>0</v>
      </c>
    </row>
    <row r="137" spans="1:4" x14ac:dyDescent="0.25">
      <c r="A137" s="1">
        <v>7</v>
      </c>
      <c r="C137" s="7" t="s">
        <v>979</v>
      </c>
      <c r="D137" s="8">
        <v>2.06</v>
      </c>
    </row>
    <row r="138" spans="1:4" x14ac:dyDescent="0.25">
      <c r="A138" s="1">
        <v>7</v>
      </c>
      <c r="C138" s="7" t="s">
        <v>980</v>
      </c>
      <c r="D138" s="8">
        <v>2.653</v>
      </c>
    </row>
    <row r="139" spans="1:4" x14ac:dyDescent="0.25">
      <c r="A139" s="1">
        <v>7</v>
      </c>
      <c r="C139" s="7" t="s">
        <v>981</v>
      </c>
      <c r="D139" s="8">
        <v>5.8310000000000004</v>
      </c>
    </row>
    <row r="140" spans="1:4" x14ac:dyDescent="0.25">
      <c r="A140" s="1">
        <v>7</v>
      </c>
      <c r="C140" s="7" t="s">
        <v>982</v>
      </c>
      <c r="D140" s="8">
        <v>12.045999999999999</v>
      </c>
    </row>
    <row r="141" spans="1:4" x14ac:dyDescent="0.25">
      <c r="A141" s="1">
        <v>7</v>
      </c>
      <c r="C141" s="7" t="s">
        <v>983</v>
      </c>
      <c r="D141" s="8">
        <v>12.638</v>
      </c>
    </row>
    <row r="142" spans="1:4" x14ac:dyDescent="0.25">
      <c r="A142" s="1">
        <v>7</v>
      </c>
      <c r="C142" s="7" t="s">
        <v>984</v>
      </c>
      <c r="D142" s="8">
        <v>22.385000000000002</v>
      </c>
    </row>
    <row r="143" spans="1:4" x14ac:dyDescent="0.25">
      <c r="A143" s="1">
        <v>7</v>
      </c>
      <c r="C143" s="7" t="s">
        <v>985</v>
      </c>
      <c r="D143" s="8">
        <v>32.542000000000002</v>
      </c>
    </row>
    <row r="144" spans="1:4" x14ac:dyDescent="0.25">
      <c r="A144" s="1">
        <v>7</v>
      </c>
      <c r="C144" s="7" t="s">
        <v>986</v>
      </c>
      <c r="D144" s="8">
        <v>33.738999999999997</v>
      </c>
    </row>
    <row r="145" spans="1:4" x14ac:dyDescent="0.25">
      <c r="A145" s="1">
        <v>7</v>
      </c>
      <c r="C145" s="7" t="s">
        <v>987</v>
      </c>
      <c r="D145" s="8">
        <v>34.659999999999997</v>
      </c>
    </row>
    <row r="146" spans="1:4" x14ac:dyDescent="0.25">
      <c r="A146" s="1">
        <v>7</v>
      </c>
      <c r="C146" s="7" t="s">
        <v>988</v>
      </c>
      <c r="D146" s="8">
        <v>37.793999999999997</v>
      </c>
    </row>
    <row r="147" spans="1:4" x14ac:dyDescent="0.25">
      <c r="A147" s="1">
        <v>7</v>
      </c>
      <c r="C147" s="7" t="s">
        <v>989</v>
      </c>
      <c r="D147" s="8">
        <v>40.881</v>
      </c>
    </row>
    <row r="148" spans="1:4" x14ac:dyDescent="0.25">
      <c r="A148" s="1">
        <v>7</v>
      </c>
      <c r="C148" s="7" t="s">
        <v>990</v>
      </c>
      <c r="D148" s="8">
        <v>43.185000000000002</v>
      </c>
    </row>
    <row r="149" spans="1:4" x14ac:dyDescent="0.25">
      <c r="A149" s="1">
        <v>7</v>
      </c>
      <c r="C149" s="7" t="s">
        <v>991</v>
      </c>
      <c r="D149" s="8">
        <v>44.546999999999997</v>
      </c>
    </row>
    <row r="150" spans="1:4" x14ac:dyDescent="0.25">
      <c r="A150" s="1">
        <v>7</v>
      </c>
      <c r="C150" s="7" t="s">
        <v>992</v>
      </c>
      <c r="D150" s="8">
        <v>50.228999999999999</v>
      </c>
    </row>
    <row r="151" spans="1:4" x14ac:dyDescent="0.25">
      <c r="A151" s="1">
        <v>7</v>
      </c>
      <c r="C151" s="7" t="s">
        <v>993</v>
      </c>
      <c r="D151" s="8">
        <v>53.192</v>
      </c>
    </row>
    <row r="152" spans="1:4" x14ac:dyDescent="0.25">
      <c r="A152" s="1">
        <v>7</v>
      </c>
      <c r="C152" s="7" t="s">
        <v>994</v>
      </c>
      <c r="D152" s="8">
        <v>54.872</v>
      </c>
    </row>
    <row r="153" spans="1:4" x14ac:dyDescent="0.25">
      <c r="A153" s="1">
        <v>7</v>
      </c>
      <c r="C153" s="7" t="s">
        <v>995</v>
      </c>
      <c r="D153" s="8">
        <v>59.97</v>
      </c>
    </row>
    <row r="154" spans="1:4" x14ac:dyDescent="0.25">
      <c r="A154" s="1">
        <v>7</v>
      </c>
      <c r="C154" s="7" t="s">
        <v>996</v>
      </c>
      <c r="D154" s="8">
        <v>72.114000000000004</v>
      </c>
    </row>
    <row r="155" spans="1:4" x14ac:dyDescent="0.25">
      <c r="A155" s="1">
        <v>7</v>
      </c>
      <c r="C155" s="7" t="s">
        <v>997</v>
      </c>
      <c r="D155" s="8">
        <v>74.677999999999997</v>
      </c>
    </row>
    <row r="156" spans="1:4" x14ac:dyDescent="0.25">
      <c r="A156" s="1">
        <v>7</v>
      </c>
      <c r="C156" s="7" t="s">
        <v>998</v>
      </c>
      <c r="D156" s="8">
        <v>93.382999999999996</v>
      </c>
    </row>
    <row r="157" spans="1:4" x14ac:dyDescent="0.25">
      <c r="A157" s="1">
        <v>7</v>
      </c>
      <c r="C157" s="7" t="s">
        <v>999</v>
      </c>
      <c r="D157" s="8">
        <v>94.266999999999996</v>
      </c>
    </row>
    <row r="158" spans="1:4" x14ac:dyDescent="0.25">
      <c r="A158" s="1">
        <v>7</v>
      </c>
      <c r="C158" s="7" t="s">
        <v>1000</v>
      </c>
      <c r="D158" s="8">
        <v>95.168000000000006</v>
      </c>
    </row>
    <row r="159" spans="1:4" x14ac:dyDescent="0.25">
      <c r="A159" s="1">
        <v>8</v>
      </c>
      <c r="C159" s="7" t="s">
        <v>860</v>
      </c>
      <c r="D159" s="8">
        <v>0</v>
      </c>
    </row>
    <row r="160" spans="1:4" x14ac:dyDescent="0.25">
      <c r="A160" s="1">
        <v>8</v>
      </c>
      <c r="C160" s="7" t="s">
        <v>861</v>
      </c>
      <c r="D160" s="8">
        <v>2.61</v>
      </c>
    </row>
    <row r="161" spans="1:4" x14ac:dyDescent="0.25">
      <c r="A161" s="1">
        <v>8</v>
      </c>
      <c r="C161" s="7" t="s">
        <v>862</v>
      </c>
      <c r="D161" s="8">
        <v>4.1619999999999999</v>
      </c>
    </row>
    <row r="162" spans="1:4" x14ac:dyDescent="0.25">
      <c r="A162" s="1">
        <v>8</v>
      </c>
      <c r="C162" s="7" t="s">
        <v>863</v>
      </c>
      <c r="D162" s="8">
        <v>4.9669999999999996</v>
      </c>
    </row>
    <row r="163" spans="1:4" x14ac:dyDescent="0.25">
      <c r="A163" s="1">
        <v>8</v>
      </c>
      <c r="C163" s="7" t="s">
        <v>864</v>
      </c>
      <c r="D163" s="8">
        <v>6.649</v>
      </c>
    </row>
    <row r="164" spans="1:4" x14ac:dyDescent="0.25">
      <c r="A164" s="1">
        <v>8</v>
      </c>
      <c r="C164" s="7" t="s">
        <v>865</v>
      </c>
      <c r="D164" s="8">
        <v>10.125999999999999</v>
      </c>
    </row>
    <row r="165" spans="1:4" x14ac:dyDescent="0.25">
      <c r="A165" s="1">
        <v>8</v>
      </c>
      <c r="C165" s="7" t="s">
        <v>866</v>
      </c>
      <c r="D165" s="8">
        <v>12.461</v>
      </c>
    </row>
    <row r="166" spans="1:4" x14ac:dyDescent="0.25">
      <c r="A166" s="1">
        <v>8</v>
      </c>
      <c r="C166" s="7" t="s">
        <v>867</v>
      </c>
      <c r="D166" s="8">
        <v>30.646999999999998</v>
      </c>
    </row>
    <row r="167" spans="1:4" x14ac:dyDescent="0.25">
      <c r="A167" s="1">
        <v>8</v>
      </c>
      <c r="C167" s="7" t="s">
        <v>868</v>
      </c>
      <c r="D167" s="8">
        <v>39.838000000000001</v>
      </c>
    </row>
    <row r="168" spans="1:4" x14ac:dyDescent="0.25">
      <c r="A168" s="1">
        <v>8</v>
      </c>
      <c r="C168" s="7" t="s">
        <v>869</v>
      </c>
      <c r="D168" s="8">
        <v>43.564</v>
      </c>
    </row>
    <row r="169" spans="1:4" x14ac:dyDescent="0.25">
      <c r="A169" s="1">
        <v>8</v>
      </c>
      <c r="C169" s="7" t="s">
        <v>870</v>
      </c>
      <c r="D169" s="8">
        <v>46.335000000000001</v>
      </c>
    </row>
    <row r="170" spans="1:4" x14ac:dyDescent="0.25">
      <c r="A170" s="1">
        <v>8</v>
      </c>
      <c r="C170" s="7" t="s">
        <v>871</v>
      </c>
      <c r="D170" s="8">
        <v>47.872</v>
      </c>
    </row>
    <row r="171" spans="1:4" x14ac:dyDescent="0.25">
      <c r="A171" s="1">
        <v>9</v>
      </c>
      <c r="C171" s="7" t="s">
        <v>921</v>
      </c>
      <c r="D171" s="8">
        <v>0</v>
      </c>
    </row>
    <row r="172" spans="1:4" x14ac:dyDescent="0.25">
      <c r="A172" s="1">
        <v>9</v>
      </c>
      <c r="C172" s="7" t="s">
        <v>922</v>
      </c>
      <c r="D172" s="8">
        <v>3.206</v>
      </c>
    </row>
    <row r="173" spans="1:4" x14ac:dyDescent="0.25">
      <c r="A173" s="1">
        <v>9</v>
      </c>
      <c r="C173" s="7" t="s">
        <v>923</v>
      </c>
      <c r="D173" s="8">
        <v>4.4450000000000003</v>
      </c>
    </row>
    <row r="174" spans="1:4" x14ac:dyDescent="0.25">
      <c r="A174" s="1">
        <v>9</v>
      </c>
      <c r="C174" s="7" t="s">
        <v>924</v>
      </c>
      <c r="D174" s="8">
        <v>6.6689999999999996</v>
      </c>
    </row>
    <row r="175" spans="1:4" x14ac:dyDescent="0.25">
      <c r="A175" s="1">
        <v>9</v>
      </c>
      <c r="C175" s="7" t="s">
        <v>925</v>
      </c>
      <c r="D175" s="8">
        <v>9.5429999999999993</v>
      </c>
    </row>
    <row r="176" spans="1:4" x14ac:dyDescent="0.25">
      <c r="A176" s="1">
        <v>9</v>
      </c>
      <c r="C176" s="7" t="s">
        <v>926</v>
      </c>
      <c r="D176" s="8">
        <v>25.265000000000001</v>
      </c>
    </row>
    <row r="177" spans="1:4" x14ac:dyDescent="0.25">
      <c r="A177" s="1">
        <v>9</v>
      </c>
      <c r="C177" s="7" t="s">
        <v>927</v>
      </c>
      <c r="D177" s="8">
        <v>36.838999999999999</v>
      </c>
    </row>
    <row r="178" spans="1:4" x14ac:dyDescent="0.25">
      <c r="A178" s="1">
        <v>9</v>
      </c>
      <c r="C178" s="7" t="s">
        <v>928</v>
      </c>
      <c r="D178" s="8">
        <v>37.847000000000001</v>
      </c>
    </row>
    <row r="179" spans="1:4" x14ac:dyDescent="0.25">
      <c r="A179" s="1">
        <v>9</v>
      </c>
      <c r="C179" s="7" t="s">
        <v>929</v>
      </c>
      <c r="D179" s="8">
        <v>39.009</v>
      </c>
    </row>
    <row r="180" spans="1:4" x14ac:dyDescent="0.25">
      <c r="A180" s="1">
        <v>9</v>
      </c>
      <c r="C180" s="7" t="s">
        <v>930</v>
      </c>
      <c r="D180" s="8">
        <v>46.595999999999997</v>
      </c>
    </row>
    <row r="181" spans="1:4" x14ac:dyDescent="0.25">
      <c r="A181" s="1">
        <v>9</v>
      </c>
      <c r="C181" s="7" t="s">
        <v>931</v>
      </c>
      <c r="D181" s="8">
        <v>50.905000000000001</v>
      </c>
    </row>
    <row r="182" spans="1:4" x14ac:dyDescent="0.25">
      <c r="A182" s="1">
        <v>9</v>
      </c>
      <c r="C182" s="7" t="s">
        <v>932</v>
      </c>
      <c r="D182" s="8">
        <v>54.718000000000004</v>
      </c>
    </row>
    <row r="183" spans="1:4" x14ac:dyDescent="0.25">
      <c r="A183" s="1">
        <v>9</v>
      </c>
      <c r="C183" s="7" t="s">
        <v>933</v>
      </c>
      <c r="D183" s="8">
        <v>59.16</v>
      </c>
    </row>
    <row r="184" spans="1:4" x14ac:dyDescent="0.25">
      <c r="A184" s="1">
        <v>9</v>
      </c>
      <c r="C184" s="7" t="s">
        <v>934</v>
      </c>
      <c r="D184" s="8">
        <v>61.676000000000002</v>
      </c>
    </row>
    <row r="185" spans="1:4" x14ac:dyDescent="0.25">
      <c r="A185" s="1">
        <v>9</v>
      </c>
      <c r="C185" s="7" t="s">
        <v>935</v>
      </c>
      <c r="D185" s="8">
        <v>69.435000000000002</v>
      </c>
    </row>
    <row r="186" spans="1:4" x14ac:dyDescent="0.25">
      <c r="A186" s="1">
        <v>9</v>
      </c>
      <c r="C186" s="7" t="s">
        <v>936</v>
      </c>
      <c r="D186" s="8">
        <v>73.908000000000001</v>
      </c>
    </row>
    <row r="187" spans="1:4" x14ac:dyDescent="0.25">
      <c r="A187" s="1">
        <v>10</v>
      </c>
      <c r="C187" s="7" t="s">
        <v>840</v>
      </c>
      <c r="D187" s="8">
        <v>0</v>
      </c>
    </row>
    <row r="188" spans="1:4" x14ac:dyDescent="0.25">
      <c r="A188" s="1">
        <v>10</v>
      </c>
      <c r="C188" s="7" t="s">
        <v>841</v>
      </c>
      <c r="D188" s="8">
        <v>4.8540000000000001</v>
      </c>
    </row>
    <row r="189" spans="1:4" x14ac:dyDescent="0.25">
      <c r="A189" s="1">
        <v>10</v>
      </c>
      <c r="C189" s="7" t="s">
        <v>842</v>
      </c>
      <c r="D189" s="8">
        <v>12.705</v>
      </c>
    </row>
    <row r="190" spans="1:4" x14ac:dyDescent="0.25">
      <c r="A190" s="1">
        <v>10</v>
      </c>
      <c r="C190" s="7" t="s">
        <v>843</v>
      </c>
      <c r="D190" s="8">
        <v>14.204000000000001</v>
      </c>
    </row>
    <row r="191" spans="1:4" x14ac:dyDescent="0.25">
      <c r="A191" s="1">
        <v>10</v>
      </c>
      <c r="C191" s="7" t="s">
        <v>844</v>
      </c>
      <c r="D191" s="8">
        <v>15.973000000000001</v>
      </c>
    </row>
    <row r="192" spans="1:4" x14ac:dyDescent="0.25">
      <c r="A192" s="1">
        <v>10</v>
      </c>
      <c r="C192" s="7" t="s">
        <v>845</v>
      </c>
      <c r="D192" s="8">
        <v>18.05</v>
      </c>
    </row>
    <row r="193" spans="1:4" x14ac:dyDescent="0.25">
      <c r="A193" s="1">
        <v>10</v>
      </c>
      <c r="C193" s="7" t="s">
        <v>846</v>
      </c>
      <c r="D193" s="8">
        <v>20.809000000000001</v>
      </c>
    </row>
    <row r="194" spans="1:4" x14ac:dyDescent="0.25">
      <c r="A194" s="1">
        <v>10</v>
      </c>
      <c r="C194" s="7" t="s">
        <v>847</v>
      </c>
      <c r="D194" s="8">
        <v>24.652000000000001</v>
      </c>
    </row>
    <row r="195" spans="1:4" x14ac:dyDescent="0.25">
      <c r="A195" s="1">
        <v>10</v>
      </c>
      <c r="C195" s="7" t="s">
        <v>848</v>
      </c>
      <c r="D195" s="8">
        <v>30.872</v>
      </c>
    </row>
    <row r="196" spans="1:4" x14ac:dyDescent="0.25">
      <c r="A196" s="1">
        <v>10</v>
      </c>
      <c r="C196" s="7" t="s">
        <v>849</v>
      </c>
      <c r="D196" s="8">
        <v>32.688000000000002</v>
      </c>
    </row>
    <row r="197" spans="1:4" x14ac:dyDescent="0.25">
      <c r="A197" s="1">
        <v>10</v>
      </c>
      <c r="C197" s="7" t="s">
        <v>850</v>
      </c>
      <c r="D197" s="8">
        <v>45.088999999999999</v>
      </c>
    </row>
    <row r="198" spans="1:4" x14ac:dyDescent="0.25">
      <c r="A198" s="1">
        <v>10</v>
      </c>
      <c r="C198" s="7" t="s">
        <v>851</v>
      </c>
      <c r="D198" s="8">
        <v>52.627000000000002</v>
      </c>
    </row>
    <row r="199" spans="1:4" x14ac:dyDescent="0.25">
      <c r="A199" s="1">
        <v>10</v>
      </c>
      <c r="C199" s="7" t="s">
        <v>852</v>
      </c>
      <c r="D199" s="8">
        <v>54.295000000000002</v>
      </c>
    </row>
    <row r="200" spans="1:4" x14ac:dyDescent="0.25">
      <c r="A200" s="1">
        <v>10</v>
      </c>
      <c r="C200" s="7" t="s">
        <v>853</v>
      </c>
      <c r="D200" s="8">
        <v>68.325000000000003</v>
      </c>
    </row>
    <row r="201" spans="1:4" x14ac:dyDescent="0.25">
      <c r="A201" s="1">
        <v>10</v>
      </c>
      <c r="C201" s="7" t="s">
        <v>854</v>
      </c>
      <c r="D201" s="8">
        <v>71.475999999999999</v>
      </c>
    </row>
    <row r="202" spans="1:4" x14ac:dyDescent="0.25">
      <c r="A202" s="1">
        <v>10</v>
      </c>
      <c r="C202" s="7" t="s">
        <v>855</v>
      </c>
      <c r="D202" s="8">
        <v>76.27</v>
      </c>
    </row>
    <row r="203" spans="1:4" x14ac:dyDescent="0.25">
      <c r="A203" s="1">
        <v>10</v>
      </c>
      <c r="C203" s="7" t="s">
        <v>856</v>
      </c>
      <c r="D203" s="8">
        <v>77.44</v>
      </c>
    </row>
    <row r="204" spans="1:4" x14ac:dyDescent="0.25">
      <c r="A204" s="1">
        <v>10</v>
      </c>
      <c r="C204" s="7" t="s">
        <v>857</v>
      </c>
      <c r="D204" s="8">
        <v>79.495999999999995</v>
      </c>
    </row>
    <row r="205" spans="1:4" x14ac:dyDescent="0.25">
      <c r="A205" s="1">
        <v>10</v>
      </c>
      <c r="C205" s="7" t="s">
        <v>858</v>
      </c>
      <c r="D205" s="8">
        <v>85.912999999999997</v>
      </c>
    </row>
    <row r="206" spans="1:4" x14ac:dyDescent="0.25">
      <c r="A206" s="1">
        <v>10</v>
      </c>
      <c r="C206" s="7" t="s">
        <v>859</v>
      </c>
      <c r="D206" s="8">
        <v>93.957999999999998</v>
      </c>
    </row>
    <row r="207" spans="1:4" x14ac:dyDescent="0.25">
      <c r="A207" s="1">
        <v>11</v>
      </c>
      <c r="C207" s="7" t="s">
        <v>960</v>
      </c>
      <c r="D207" s="8">
        <v>0</v>
      </c>
    </row>
    <row r="208" spans="1:4" x14ac:dyDescent="0.25">
      <c r="A208" s="1">
        <v>11</v>
      </c>
      <c r="C208" s="7" t="s">
        <v>961</v>
      </c>
      <c r="D208" s="8">
        <v>3.24</v>
      </c>
    </row>
    <row r="209" spans="1:4" x14ac:dyDescent="0.25">
      <c r="A209" s="1">
        <v>11</v>
      </c>
      <c r="C209" s="7" t="s">
        <v>962</v>
      </c>
      <c r="D209" s="8">
        <v>4.0679999999999996</v>
      </c>
    </row>
    <row r="210" spans="1:4" x14ac:dyDescent="0.25">
      <c r="A210" s="1">
        <v>11</v>
      </c>
      <c r="C210" s="7" t="s">
        <v>963</v>
      </c>
      <c r="D210" s="8">
        <v>6.8310000000000004</v>
      </c>
    </row>
    <row r="211" spans="1:4" x14ac:dyDescent="0.25">
      <c r="A211" s="1">
        <v>11</v>
      </c>
      <c r="C211" s="7" t="s">
        <v>964</v>
      </c>
      <c r="D211" s="8">
        <v>15.074999999999999</v>
      </c>
    </row>
    <row r="212" spans="1:4" x14ac:dyDescent="0.25">
      <c r="A212" s="1">
        <v>11</v>
      </c>
      <c r="C212" s="7" t="s">
        <v>965</v>
      </c>
      <c r="D212" s="8">
        <v>17.542000000000002</v>
      </c>
    </row>
    <row r="213" spans="1:4" x14ac:dyDescent="0.25">
      <c r="A213" s="1">
        <v>11</v>
      </c>
      <c r="C213" s="7" t="s">
        <v>966</v>
      </c>
      <c r="D213" s="8">
        <v>25.538</v>
      </c>
    </row>
    <row r="214" spans="1:4" x14ac:dyDescent="0.25">
      <c r="A214" s="1">
        <v>11</v>
      </c>
      <c r="C214" s="7" t="s">
        <v>967</v>
      </c>
      <c r="D214" s="8">
        <v>27.585999999999999</v>
      </c>
    </row>
    <row r="215" spans="1:4" x14ac:dyDescent="0.25">
      <c r="A215" s="1">
        <v>11</v>
      </c>
      <c r="C215" s="7" t="s">
        <v>968</v>
      </c>
      <c r="D215" s="8">
        <v>35.222999999999999</v>
      </c>
    </row>
    <row r="216" spans="1:4" x14ac:dyDescent="0.25">
      <c r="A216" s="1">
        <v>11</v>
      </c>
      <c r="C216" s="7" t="s">
        <v>969</v>
      </c>
      <c r="D216" s="8">
        <v>40.018000000000001</v>
      </c>
    </row>
    <row r="217" spans="1:4" x14ac:dyDescent="0.25">
      <c r="A217" s="1">
        <v>11</v>
      </c>
      <c r="C217" s="7" t="s">
        <v>970</v>
      </c>
      <c r="D217" s="8">
        <v>44.441000000000003</v>
      </c>
    </row>
    <row r="218" spans="1:4" x14ac:dyDescent="0.25">
      <c r="A218" s="1">
        <v>11</v>
      </c>
      <c r="C218" s="7" t="s">
        <v>971</v>
      </c>
      <c r="D218" s="8">
        <v>55.363999999999997</v>
      </c>
    </row>
    <row r="219" spans="1:4" x14ac:dyDescent="0.25">
      <c r="A219" s="1">
        <v>11</v>
      </c>
      <c r="C219" s="7" t="s">
        <v>972</v>
      </c>
      <c r="D219" s="8">
        <v>56.573</v>
      </c>
    </row>
    <row r="220" spans="1:4" x14ac:dyDescent="0.25">
      <c r="A220" s="1">
        <v>11</v>
      </c>
      <c r="C220" s="7" t="s">
        <v>973</v>
      </c>
      <c r="D220" s="8">
        <v>62.101999999999997</v>
      </c>
    </row>
    <row r="221" spans="1:4" x14ac:dyDescent="0.25">
      <c r="A221" s="1">
        <v>11</v>
      </c>
      <c r="C221" s="7" t="s">
        <v>974</v>
      </c>
      <c r="D221" s="8">
        <v>63.790999999999997</v>
      </c>
    </row>
    <row r="222" spans="1:4" x14ac:dyDescent="0.25">
      <c r="A222" s="1">
        <v>11</v>
      </c>
      <c r="C222" s="7" t="s">
        <v>975</v>
      </c>
      <c r="D222" s="8">
        <v>66.891000000000005</v>
      </c>
    </row>
    <row r="223" spans="1:4" x14ac:dyDescent="0.25">
      <c r="A223" s="1">
        <v>11</v>
      </c>
      <c r="C223" s="7" t="s">
        <v>976</v>
      </c>
      <c r="D223" s="8">
        <v>68.828999999999994</v>
      </c>
    </row>
    <row r="224" spans="1:4" x14ac:dyDescent="0.25">
      <c r="A224" s="1">
        <v>11</v>
      </c>
      <c r="C224" s="7" t="s">
        <v>977</v>
      </c>
      <c r="D224" s="8">
        <v>73.813999999999993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9.140625" style="1"/>
    <col min="2" max="2" width="13.7109375" style="1" customWidth="1"/>
    <col min="3" max="3" width="9.140625" style="1"/>
    <col min="4" max="4" width="13.28515625" style="1" customWidth="1"/>
    <col min="5" max="5" width="17.28515625" style="1" customWidth="1"/>
    <col min="6" max="6" width="21.28515625" style="1" customWidth="1"/>
    <col min="7" max="9" width="9.140625" style="1"/>
    <col min="10" max="10" width="17.85546875" style="1" customWidth="1"/>
  </cols>
  <sheetData>
    <row r="1" spans="1:10" s="12" customFormat="1" x14ac:dyDescent="0.25">
      <c r="A1" s="11" t="s">
        <v>1028</v>
      </c>
      <c r="B1" s="11" t="s">
        <v>1035</v>
      </c>
      <c r="C1" s="11" t="s">
        <v>1022</v>
      </c>
      <c r="D1" s="11" t="s">
        <v>1029</v>
      </c>
      <c r="E1" s="11" t="s">
        <v>1034</v>
      </c>
      <c r="F1" s="11" t="s">
        <v>1036</v>
      </c>
      <c r="G1" s="11" t="s">
        <v>1030</v>
      </c>
      <c r="H1" s="11" t="s">
        <v>1031</v>
      </c>
      <c r="I1" s="11" t="s">
        <v>1032</v>
      </c>
      <c r="J1" s="16" t="s">
        <v>1033</v>
      </c>
    </row>
    <row r="2" spans="1:10" x14ac:dyDescent="0.25">
      <c r="A2" s="1" t="s">
        <v>1042</v>
      </c>
      <c r="B2" s="1" t="s">
        <v>1159</v>
      </c>
      <c r="C2" s="1">
        <v>11</v>
      </c>
      <c r="D2" s="1">
        <v>15.1</v>
      </c>
      <c r="E2" s="1" t="s">
        <v>1058</v>
      </c>
      <c r="F2" s="1" t="s">
        <v>1043</v>
      </c>
      <c r="G2" s="1" t="s">
        <v>1152</v>
      </c>
      <c r="H2" s="10">
        <v>2.8</v>
      </c>
      <c r="I2" s="8">
        <v>15.3</v>
      </c>
      <c r="J2" s="10">
        <v>0.05</v>
      </c>
    </row>
    <row r="3" spans="1:10" x14ac:dyDescent="0.25">
      <c r="A3" s="1" t="s">
        <v>1041</v>
      </c>
      <c r="B3" s="1" t="s">
        <v>1159</v>
      </c>
      <c r="C3" s="1" t="s">
        <v>1044</v>
      </c>
      <c r="D3" s="1">
        <v>7.5</v>
      </c>
      <c r="E3" s="1" t="s">
        <v>1059</v>
      </c>
      <c r="F3" s="1" t="s">
        <v>1045</v>
      </c>
      <c r="G3" s="1">
        <v>3.79</v>
      </c>
      <c r="H3" s="10">
        <v>2.8</v>
      </c>
      <c r="I3" s="8">
        <v>25.6</v>
      </c>
      <c r="J3" s="10">
        <v>1.32</v>
      </c>
    </row>
    <row r="4" spans="1:10" x14ac:dyDescent="0.25">
      <c r="A4" s="1" t="s">
        <v>1046</v>
      </c>
      <c r="B4" s="1" t="s">
        <v>1047</v>
      </c>
      <c r="C4" s="1">
        <v>11</v>
      </c>
      <c r="D4" s="1">
        <v>101.3</v>
      </c>
      <c r="E4" s="1" t="s">
        <v>1060</v>
      </c>
      <c r="F4" s="1" t="s">
        <v>1049</v>
      </c>
      <c r="G4" s="1" t="s">
        <v>1153</v>
      </c>
      <c r="H4" s="10">
        <v>3</v>
      </c>
      <c r="I4" s="8">
        <v>13.4</v>
      </c>
      <c r="J4" s="10">
        <v>1.27</v>
      </c>
    </row>
    <row r="5" spans="1:10" x14ac:dyDescent="0.25">
      <c r="A5" s="1" t="s">
        <v>1046</v>
      </c>
      <c r="B5" s="1" t="s">
        <v>1048</v>
      </c>
      <c r="C5" s="1">
        <v>5</v>
      </c>
      <c r="D5" s="1">
        <v>112.8</v>
      </c>
      <c r="E5" s="1" t="s">
        <v>1061</v>
      </c>
      <c r="F5" s="1" t="s">
        <v>1050</v>
      </c>
      <c r="G5" s="1" t="s">
        <v>1079</v>
      </c>
      <c r="H5" s="10">
        <v>3</v>
      </c>
      <c r="I5" s="8">
        <v>18.600000000000001</v>
      </c>
      <c r="J5" s="10">
        <v>-1.78</v>
      </c>
    </row>
    <row r="6" spans="1:10" x14ac:dyDescent="0.25">
      <c r="A6" s="1" t="s">
        <v>1051</v>
      </c>
      <c r="B6" s="1" t="s">
        <v>1047</v>
      </c>
      <c r="C6" s="1">
        <v>1</v>
      </c>
      <c r="D6" s="1">
        <v>52.8</v>
      </c>
      <c r="E6" s="1" t="s">
        <v>1062</v>
      </c>
      <c r="F6" s="1" t="s">
        <v>1055</v>
      </c>
      <c r="G6" s="1">
        <v>8.7200000000000006</v>
      </c>
      <c r="H6" s="10">
        <v>3.1</v>
      </c>
      <c r="I6" s="8">
        <v>42.9</v>
      </c>
      <c r="J6" s="10">
        <v>-0.64</v>
      </c>
    </row>
    <row r="7" spans="1:10" x14ac:dyDescent="0.25">
      <c r="A7" s="1" t="s">
        <v>1051</v>
      </c>
      <c r="B7" s="1" t="s">
        <v>1047</v>
      </c>
      <c r="C7" s="1" t="s">
        <v>1052</v>
      </c>
      <c r="D7" s="1">
        <v>55.1</v>
      </c>
      <c r="E7" s="1" t="s">
        <v>1063</v>
      </c>
      <c r="F7" s="1" t="s">
        <v>1054</v>
      </c>
      <c r="G7" s="1">
        <v>3.57</v>
      </c>
      <c r="H7" s="10">
        <v>3.1</v>
      </c>
      <c r="I7" s="8">
        <v>14.5</v>
      </c>
      <c r="J7" s="10">
        <v>-0.36</v>
      </c>
    </row>
    <row r="8" spans="1:10" x14ac:dyDescent="0.25">
      <c r="A8" s="1" t="s">
        <v>1051</v>
      </c>
      <c r="B8" s="1" t="s">
        <v>1047</v>
      </c>
      <c r="C8" s="1">
        <v>5</v>
      </c>
      <c r="D8" s="1">
        <v>134.80000000000001</v>
      </c>
      <c r="E8" s="1" t="s">
        <v>1064</v>
      </c>
      <c r="F8" s="1" t="s">
        <v>1056</v>
      </c>
      <c r="G8" s="1" t="s">
        <v>1154</v>
      </c>
      <c r="H8" s="10">
        <v>3.1</v>
      </c>
      <c r="I8" s="8">
        <v>9.4</v>
      </c>
      <c r="J8" s="10">
        <v>0.3</v>
      </c>
    </row>
    <row r="9" spans="1:10" x14ac:dyDescent="0.25">
      <c r="A9" s="1" t="s">
        <v>1051</v>
      </c>
      <c r="B9" s="1" t="s">
        <v>1048</v>
      </c>
      <c r="C9" s="1">
        <v>1</v>
      </c>
      <c r="D9" s="1">
        <v>52.8</v>
      </c>
      <c r="E9" s="1" t="s">
        <v>1062</v>
      </c>
      <c r="F9" s="1" t="s">
        <v>1055</v>
      </c>
      <c r="G9" s="1">
        <v>9.06</v>
      </c>
      <c r="H9" s="10">
        <v>3</v>
      </c>
      <c r="I9" s="8">
        <v>40.200000000000003</v>
      </c>
      <c r="J9" s="10">
        <v>-0.69</v>
      </c>
    </row>
    <row r="10" spans="1:10" x14ac:dyDescent="0.25">
      <c r="A10" s="1" t="s">
        <v>1051</v>
      </c>
      <c r="B10" s="1" t="s">
        <v>1048</v>
      </c>
      <c r="C10" s="1">
        <v>11</v>
      </c>
      <c r="D10" s="1">
        <v>55.6</v>
      </c>
      <c r="E10" s="1" t="s">
        <v>1065</v>
      </c>
      <c r="F10" s="1" t="s">
        <v>1053</v>
      </c>
      <c r="G10" s="1" t="s">
        <v>1155</v>
      </c>
      <c r="H10" s="10">
        <v>3</v>
      </c>
      <c r="I10" s="8">
        <v>9.8000000000000007</v>
      </c>
      <c r="J10" s="10">
        <v>0.35</v>
      </c>
    </row>
    <row r="11" spans="1:10" x14ac:dyDescent="0.25">
      <c r="A11" s="1" t="s">
        <v>1051</v>
      </c>
      <c r="B11" s="1" t="s">
        <v>1048</v>
      </c>
      <c r="C11" s="1" t="s">
        <v>1052</v>
      </c>
      <c r="D11" s="1">
        <v>60.1</v>
      </c>
      <c r="E11" s="1" t="s">
        <v>1066</v>
      </c>
      <c r="F11" s="1" t="s">
        <v>952</v>
      </c>
      <c r="G11" s="1" t="s">
        <v>1156</v>
      </c>
      <c r="H11" s="10">
        <v>3</v>
      </c>
      <c r="I11" s="8">
        <v>9.1</v>
      </c>
      <c r="J11" s="10">
        <v>-0.33</v>
      </c>
    </row>
    <row r="12" spans="1:10" x14ac:dyDescent="0.25">
      <c r="A12" s="1" t="s">
        <v>1057</v>
      </c>
      <c r="B12" s="1" t="s">
        <v>1047</v>
      </c>
      <c r="C12" s="1">
        <v>1</v>
      </c>
      <c r="D12" s="1">
        <v>53.8</v>
      </c>
      <c r="E12" s="1" t="s">
        <v>1067</v>
      </c>
      <c r="F12" s="1" t="s">
        <v>1055</v>
      </c>
      <c r="G12" s="1">
        <v>8.93</v>
      </c>
      <c r="H12" s="10">
        <v>3.1</v>
      </c>
      <c r="I12" s="8">
        <v>41.1</v>
      </c>
      <c r="J12" s="10">
        <v>-1.01</v>
      </c>
    </row>
    <row r="13" spans="1:10" x14ac:dyDescent="0.25">
      <c r="A13" s="1" t="s">
        <v>1057</v>
      </c>
      <c r="B13" s="1" t="s">
        <v>1047</v>
      </c>
      <c r="C13" s="1">
        <v>2</v>
      </c>
      <c r="D13" s="1">
        <v>4.5</v>
      </c>
      <c r="E13" s="1" t="s">
        <v>1068</v>
      </c>
      <c r="F13" s="1" t="s">
        <v>1070</v>
      </c>
      <c r="G13" s="1" t="s">
        <v>1073</v>
      </c>
      <c r="H13" s="10">
        <v>3.1</v>
      </c>
      <c r="I13" s="8">
        <v>10.4</v>
      </c>
      <c r="J13" s="10">
        <v>0.51</v>
      </c>
    </row>
    <row r="14" spans="1:10" x14ac:dyDescent="0.25">
      <c r="A14" s="1" t="s">
        <v>1057</v>
      </c>
      <c r="B14" s="1" t="s">
        <v>1047</v>
      </c>
      <c r="C14" s="1">
        <v>7</v>
      </c>
      <c r="D14" s="1">
        <v>73.900000000000006</v>
      </c>
      <c r="E14" s="1" t="s">
        <v>1069</v>
      </c>
      <c r="F14" s="1" t="s">
        <v>935</v>
      </c>
      <c r="G14" s="1" t="s">
        <v>1072</v>
      </c>
      <c r="H14" s="10">
        <v>3.1</v>
      </c>
      <c r="I14" s="8">
        <v>6.5</v>
      </c>
      <c r="J14" s="10">
        <v>-0.43</v>
      </c>
    </row>
    <row r="15" spans="1:10" x14ac:dyDescent="0.25">
      <c r="A15" s="1" t="s">
        <v>1057</v>
      </c>
      <c r="B15" s="1" t="s">
        <v>1048</v>
      </c>
      <c r="C15" s="1">
        <v>1</v>
      </c>
      <c r="D15" s="1">
        <v>52.8</v>
      </c>
      <c r="E15" s="1" t="s">
        <v>1062</v>
      </c>
      <c r="F15" s="1" t="s">
        <v>1055</v>
      </c>
      <c r="G15" s="1">
        <v>10.83</v>
      </c>
      <c r="H15" s="10">
        <v>3</v>
      </c>
      <c r="I15" s="8">
        <v>54.7</v>
      </c>
      <c r="J15" s="10">
        <v>-1.21</v>
      </c>
    </row>
    <row r="16" spans="1:10" x14ac:dyDescent="0.25">
      <c r="A16" s="1" t="s">
        <v>1057</v>
      </c>
      <c r="B16" s="1" t="s">
        <v>1048</v>
      </c>
      <c r="C16" s="1">
        <v>11</v>
      </c>
      <c r="D16" s="1">
        <v>56.6</v>
      </c>
      <c r="E16" s="1" t="s">
        <v>1065</v>
      </c>
      <c r="F16" s="1" t="s">
        <v>1053</v>
      </c>
      <c r="G16" s="1" t="s">
        <v>1071</v>
      </c>
      <c r="H16" s="10">
        <v>3</v>
      </c>
      <c r="I16" s="8">
        <v>8.4</v>
      </c>
      <c r="J16" s="10">
        <v>0.49</v>
      </c>
    </row>
    <row r="17" spans="1:10" x14ac:dyDescent="0.25">
      <c r="A17" s="1" t="s">
        <v>1074</v>
      </c>
      <c r="B17" s="1" t="s">
        <v>1047</v>
      </c>
      <c r="C17" s="1">
        <v>1</v>
      </c>
      <c r="D17" s="1">
        <v>52.8</v>
      </c>
      <c r="E17" s="1" t="s">
        <v>1062</v>
      </c>
      <c r="F17" s="1" t="s">
        <v>1055</v>
      </c>
      <c r="G17" s="1">
        <v>7.01</v>
      </c>
      <c r="H17" s="10">
        <v>3</v>
      </c>
      <c r="I17" s="8">
        <v>33.9</v>
      </c>
      <c r="J17" s="10">
        <v>-15.21</v>
      </c>
    </row>
    <row r="18" spans="1:10" x14ac:dyDescent="0.25">
      <c r="A18" s="1" t="s">
        <v>1074</v>
      </c>
      <c r="B18" s="1" t="s">
        <v>1047</v>
      </c>
      <c r="C18" s="1">
        <v>11</v>
      </c>
      <c r="D18" s="1">
        <v>60.3</v>
      </c>
      <c r="E18" s="1" t="s">
        <v>1075</v>
      </c>
      <c r="F18" s="1" t="s">
        <v>1077</v>
      </c>
      <c r="G18" s="1">
        <v>3.15</v>
      </c>
      <c r="H18" s="10">
        <v>3</v>
      </c>
      <c r="I18" s="8">
        <v>13.5</v>
      </c>
      <c r="J18" s="10">
        <v>9.2899999999999991</v>
      </c>
    </row>
    <row r="19" spans="1:10" x14ac:dyDescent="0.25">
      <c r="A19" s="1" t="s">
        <v>1074</v>
      </c>
      <c r="B19" s="1" t="s">
        <v>1047</v>
      </c>
      <c r="C19" s="1">
        <v>5</v>
      </c>
      <c r="D19" s="1">
        <v>132.80000000000001</v>
      </c>
      <c r="E19" s="1" t="s">
        <v>1076</v>
      </c>
      <c r="F19" s="1" t="s">
        <v>1078</v>
      </c>
      <c r="G19" s="1" t="s">
        <v>1079</v>
      </c>
      <c r="H19" s="10">
        <v>3</v>
      </c>
      <c r="I19" s="8">
        <v>11.1</v>
      </c>
      <c r="J19" s="10">
        <v>8.52</v>
      </c>
    </row>
    <row r="20" spans="1:10" x14ac:dyDescent="0.25">
      <c r="A20" s="1" t="s">
        <v>1074</v>
      </c>
      <c r="B20" s="1" t="s">
        <v>1048</v>
      </c>
      <c r="C20" s="1">
        <v>1</v>
      </c>
      <c r="D20" s="1">
        <v>51.8</v>
      </c>
      <c r="E20" s="1" t="s">
        <v>1062</v>
      </c>
      <c r="F20" s="1" t="s">
        <v>1080</v>
      </c>
      <c r="G20" s="1" t="s">
        <v>1081</v>
      </c>
      <c r="H20" s="10">
        <v>3</v>
      </c>
      <c r="I20" s="8">
        <v>18.2</v>
      </c>
      <c r="J20" s="10">
        <v>-11.69</v>
      </c>
    </row>
    <row r="21" spans="1:10" x14ac:dyDescent="0.25">
      <c r="A21" s="1" t="s">
        <v>1082</v>
      </c>
      <c r="B21" s="1" t="s">
        <v>1047</v>
      </c>
      <c r="C21" s="1">
        <v>1</v>
      </c>
      <c r="D21" s="1">
        <v>53.8</v>
      </c>
      <c r="E21" s="1" t="s">
        <v>1062</v>
      </c>
      <c r="F21" s="1" t="s">
        <v>1055</v>
      </c>
      <c r="G21" s="1">
        <v>4.57</v>
      </c>
      <c r="H21" s="10">
        <v>3.1</v>
      </c>
      <c r="I21" s="8">
        <v>18.899999999999999</v>
      </c>
      <c r="J21" s="10">
        <v>-10.6</v>
      </c>
    </row>
    <row r="22" spans="1:10" x14ac:dyDescent="0.25">
      <c r="A22" s="1" t="s">
        <v>1082</v>
      </c>
      <c r="B22" s="1" t="s">
        <v>1047</v>
      </c>
      <c r="C22" s="1">
        <v>11</v>
      </c>
      <c r="D22" s="1">
        <v>60.3</v>
      </c>
      <c r="E22" s="1" t="s">
        <v>1075</v>
      </c>
      <c r="F22" s="1" t="s">
        <v>1077</v>
      </c>
      <c r="G22" s="1">
        <v>3.57</v>
      </c>
      <c r="H22" s="10">
        <v>3.1</v>
      </c>
      <c r="I22" s="8">
        <v>15.1</v>
      </c>
      <c r="J22" s="10">
        <v>9.33</v>
      </c>
    </row>
    <row r="23" spans="1:10" x14ac:dyDescent="0.25">
      <c r="A23" s="1" t="s">
        <v>1082</v>
      </c>
      <c r="B23" s="1" t="s">
        <v>1047</v>
      </c>
      <c r="C23" s="1">
        <v>2</v>
      </c>
      <c r="D23" s="1">
        <v>91.4</v>
      </c>
      <c r="E23" s="1" t="s">
        <v>1083</v>
      </c>
      <c r="F23" s="1" t="s">
        <v>838</v>
      </c>
      <c r="G23" s="1" t="s">
        <v>1084</v>
      </c>
      <c r="H23" s="10">
        <v>3.1</v>
      </c>
      <c r="I23" s="8">
        <v>10.4</v>
      </c>
      <c r="J23" s="10">
        <v>7.83</v>
      </c>
    </row>
    <row r="24" spans="1:10" x14ac:dyDescent="0.25">
      <c r="A24" s="1" t="s">
        <v>1082</v>
      </c>
      <c r="B24" s="1" t="s">
        <v>1048</v>
      </c>
      <c r="C24" s="1">
        <v>1</v>
      </c>
      <c r="D24" s="1">
        <v>52.8</v>
      </c>
      <c r="E24" s="1" t="s">
        <v>1062</v>
      </c>
      <c r="F24" s="1" t="s">
        <v>1055</v>
      </c>
      <c r="G24" s="1">
        <v>4.47</v>
      </c>
      <c r="H24" s="10">
        <v>3</v>
      </c>
      <c r="I24" s="8">
        <v>22.8</v>
      </c>
      <c r="J24" s="10">
        <v>-10.26</v>
      </c>
    </row>
    <row r="25" spans="1:10" x14ac:dyDescent="0.25">
      <c r="A25" s="1" t="s">
        <v>1082</v>
      </c>
      <c r="B25" s="1" t="s">
        <v>1048</v>
      </c>
      <c r="C25" s="1">
        <v>11</v>
      </c>
      <c r="D25" s="1">
        <v>56.6</v>
      </c>
      <c r="E25" s="1" t="s">
        <v>1085</v>
      </c>
      <c r="F25" s="1" t="s">
        <v>1053</v>
      </c>
      <c r="G25" s="1">
        <v>3.61</v>
      </c>
      <c r="H25" s="10">
        <v>3</v>
      </c>
      <c r="I25" s="8">
        <v>17.5</v>
      </c>
      <c r="J25" s="10">
        <v>9.3000000000000007</v>
      </c>
    </row>
    <row r="26" spans="1:10" x14ac:dyDescent="0.25">
      <c r="A26" s="1" t="s">
        <v>1082</v>
      </c>
      <c r="B26" s="1" t="s">
        <v>1048</v>
      </c>
      <c r="C26" s="1">
        <v>2</v>
      </c>
      <c r="D26" s="1">
        <v>58.3</v>
      </c>
      <c r="E26" s="1" t="s">
        <v>1086</v>
      </c>
      <c r="F26" s="1" t="s">
        <v>1087</v>
      </c>
      <c r="G26" s="1" t="s">
        <v>1088</v>
      </c>
      <c r="H26" s="10">
        <v>3</v>
      </c>
      <c r="I26" s="8">
        <v>11.1</v>
      </c>
      <c r="J26" s="10">
        <v>9.5500000000000007</v>
      </c>
    </row>
    <row r="27" spans="1:10" x14ac:dyDescent="0.25">
      <c r="A27" s="1" t="s">
        <v>1089</v>
      </c>
      <c r="B27" s="1" t="s">
        <v>1047</v>
      </c>
      <c r="C27" s="1">
        <v>1</v>
      </c>
      <c r="D27" s="1">
        <v>52.8</v>
      </c>
      <c r="E27" s="1" t="s">
        <v>1062</v>
      </c>
      <c r="F27" s="1" t="s">
        <v>1055</v>
      </c>
      <c r="G27" s="1">
        <v>6.47</v>
      </c>
      <c r="H27" s="10">
        <v>3</v>
      </c>
      <c r="I27" s="8">
        <v>28.1</v>
      </c>
      <c r="J27" s="10">
        <v>-15.14</v>
      </c>
    </row>
    <row r="28" spans="1:10" x14ac:dyDescent="0.25">
      <c r="A28" s="1" t="s">
        <v>1089</v>
      </c>
      <c r="B28" s="1" t="s">
        <v>1047</v>
      </c>
      <c r="C28" s="1">
        <v>11</v>
      </c>
      <c r="D28" s="1">
        <v>60.3</v>
      </c>
      <c r="E28" s="1" t="s">
        <v>1075</v>
      </c>
      <c r="F28" s="1" t="s">
        <v>1077</v>
      </c>
      <c r="G28" s="1">
        <v>3.82</v>
      </c>
      <c r="H28" s="10">
        <v>3</v>
      </c>
      <c r="I28" s="8">
        <v>15.7</v>
      </c>
      <c r="J28" s="10">
        <v>11.06</v>
      </c>
    </row>
    <row r="29" spans="1:10" x14ac:dyDescent="0.25">
      <c r="A29" s="1" t="s">
        <v>1089</v>
      </c>
      <c r="B29" s="1" t="s">
        <v>1047</v>
      </c>
      <c r="C29" s="1">
        <v>2</v>
      </c>
      <c r="D29" s="1">
        <v>60.3</v>
      </c>
      <c r="E29" s="1" t="s">
        <v>1090</v>
      </c>
      <c r="F29" s="1" t="s">
        <v>1087</v>
      </c>
      <c r="G29" s="10">
        <v>3.2</v>
      </c>
      <c r="H29" s="10">
        <v>3</v>
      </c>
      <c r="I29" s="8">
        <v>12.4</v>
      </c>
      <c r="J29" s="10">
        <v>13.04</v>
      </c>
    </row>
    <row r="30" spans="1:10" x14ac:dyDescent="0.25">
      <c r="A30" s="1" t="s">
        <v>1089</v>
      </c>
      <c r="B30" s="1" t="s">
        <v>1048</v>
      </c>
      <c r="C30" s="1">
        <v>1</v>
      </c>
      <c r="D30" s="1">
        <v>51.8</v>
      </c>
      <c r="E30" s="1" t="s">
        <v>1062</v>
      </c>
      <c r="F30" s="1" t="s">
        <v>1080</v>
      </c>
      <c r="G30" s="1">
        <v>3.46</v>
      </c>
      <c r="H30" s="10">
        <v>3</v>
      </c>
      <c r="I30" s="8">
        <v>23.7</v>
      </c>
      <c r="J30" s="10">
        <v>-14.04</v>
      </c>
    </row>
    <row r="31" spans="1:10" x14ac:dyDescent="0.25">
      <c r="A31" s="1" t="s">
        <v>1091</v>
      </c>
      <c r="B31" s="1" t="s">
        <v>1047</v>
      </c>
      <c r="C31" s="1">
        <v>11</v>
      </c>
      <c r="D31" s="1">
        <v>60.3</v>
      </c>
      <c r="E31" s="1" t="s">
        <v>1075</v>
      </c>
      <c r="F31" s="1" t="s">
        <v>1077</v>
      </c>
      <c r="G31" s="1">
        <v>3.99</v>
      </c>
      <c r="H31" s="10">
        <v>3.1</v>
      </c>
      <c r="I31" s="8">
        <v>16.5</v>
      </c>
      <c r="J31" s="10">
        <v>6.97</v>
      </c>
    </row>
    <row r="32" spans="1:10" x14ac:dyDescent="0.25">
      <c r="A32" s="1" t="s">
        <v>1091</v>
      </c>
      <c r="B32" s="1" t="s">
        <v>1047</v>
      </c>
      <c r="C32" s="1">
        <v>2</v>
      </c>
      <c r="D32" s="1">
        <v>91.4</v>
      </c>
      <c r="E32" s="1" t="s">
        <v>1083</v>
      </c>
      <c r="F32" s="1" t="s">
        <v>838</v>
      </c>
      <c r="G32" s="1">
        <v>3.39</v>
      </c>
      <c r="H32" s="10">
        <v>3.1</v>
      </c>
      <c r="I32" s="8">
        <v>13.6</v>
      </c>
      <c r="J32" s="10">
        <v>6.41</v>
      </c>
    </row>
    <row r="33" spans="1:10" x14ac:dyDescent="0.25">
      <c r="A33" s="1" t="s">
        <v>1091</v>
      </c>
      <c r="B33" s="1" t="s">
        <v>1047</v>
      </c>
      <c r="C33" s="1">
        <v>1</v>
      </c>
      <c r="D33" s="1">
        <v>54.1</v>
      </c>
      <c r="E33" s="1" t="s">
        <v>1067</v>
      </c>
      <c r="F33" s="1" t="s">
        <v>1092</v>
      </c>
      <c r="G33" s="1">
        <v>3.25</v>
      </c>
      <c r="H33" s="10">
        <v>3.1</v>
      </c>
      <c r="I33" s="8">
        <v>13.4</v>
      </c>
      <c r="J33" s="10">
        <v>-6.53</v>
      </c>
    </row>
    <row r="34" spans="1:10" x14ac:dyDescent="0.25">
      <c r="A34" s="1" t="s">
        <v>1091</v>
      </c>
      <c r="B34" s="1" t="s">
        <v>1048</v>
      </c>
      <c r="C34" s="1">
        <v>2</v>
      </c>
      <c r="D34" s="1">
        <v>91.4</v>
      </c>
      <c r="E34" s="1" t="s">
        <v>1083</v>
      </c>
      <c r="F34" s="1" t="s">
        <v>838</v>
      </c>
      <c r="G34" s="1">
        <v>3.16</v>
      </c>
      <c r="H34" s="10">
        <v>3</v>
      </c>
      <c r="I34" s="8">
        <v>19.3</v>
      </c>
      <c r="J34" s="10">
        <v>6.63</v>
      </c>
    </row>
    <row r="35" spans="1:10" x14ac:dyDescent="0.25">
      <c r="A35" s="1" t="s">
        <v>1091</v>
      </c>
      <c r="B35" s="1" t="s">
        <v>1048</v>
      </c>
      <c r="C35" s="1">
        <v>1</v>
      </c>
      <c r="D35" s="1">
        <v>51.8</v>
      </c>
      <c r="E35" s="1" t="s">
        <v>1062</v>
      </c>
      <c r="F35" s="1" t="s">
        <v>1080</v>
      </c>
      <c r="G35" s="1" t="s">
        <v>1093</v>
      </c>
      <c r="H35" s="10">
        <v>3</v>
      </c>
      <c r="I35" s="8">
        <v>12</v>
      </c>
      <c r="J35" s="10">
        <v>-5.39</v>
      </c>
    </row>
    <row r="36" spans="1:10" x14ac:dyDescent="0.25">
      <c r="A36" s="1" t="s">
        <v>1091</v>
      </c>
      <c r="B36" s="1" t="s">
        <v>1048</v>
      </c>
      <c r="C36" s="1">
        <v>11</v>
      </c>
      <c r="D36" s="1">
        <v>55.6</v>
      </c>
      <c r="E36" s="1" t="s">
        <v>1065</v>
      </c>
      <c r="F36" s="1" t="s">
        <v>1053</v>
      </c>
      <c r="G36" s="1" t="s">
        <v>1094</v>
      </c>
      <c r="H36" s="10">
        <v>3</v>
      </c>
      <c r="I36" s="8">
        <v>12.5</v>
      </c>
      <c r="J36" s="10">
        <v>5.76</v>
      </c>
    </row>
    <row r="37" spans="1:10" x14ac:dyDescent="0.25">
      <c r="A37" s="1" t="s">
        <v>1095</v>
      </c>
      <c r="B37" s="1" t="s">
        <v>1047</v>
      </c>
      <c r="C37" s="1">
        <v>9</v>
      </c>
      <c r="D37" s="1">
        <v>52.4</v>
      </c>
      <c r="E37" s="1" t="s">
        <v>1096</v>
      </c>
      <c r="F37" s="1" t="s">
        <v>1099</v>
      </c>
      <c r="G37" s="1">
        <v>4.49</v>
      </c>
      <c r="H37" s="10">
        <v>3</v>
      </c>
      <c r="I37" s="8">
        <v>27.5</v>
      </c>
      <c r="J37" s="10">
        <v>-7.62</v>
      </c>
    </row>
    <row r="38" spans="1:10" x14ac:dyDescent="0.25">
      <c r="A38" s="1" t="s">
        <v>1095</v>
      </c>
      <c r="B38" s="1" t="s">
        <v>1047</v>
      </c>
      <c r="C38" s="1">
        <v>10</v>
      </c>
      <c r="D38" s="1">
        <v>21.6</v>
      </c>
      <c r="E38" s="1" t="s">
        <v>1097</v>
      </c>
      <c r="F38" s="1" t="s">
        <v>1100</v>
      </c>
      <c r="G38" s="1" t="s">
        <v>1072</v>
      </c>
      <c r="H38" s="10">
        <v>3</v>
      </c>
      <c r="I38" s="8">
        <v>12.7</v>
      </c>
      <c r="J38" s="10">
        <v>4.84</v>
      </c>
    </row>
    <row r="39" spans="1:10" x14ac:dyDescent="0.25">
      <c r="A39" s="1" t="s">
        <v>1095</v>
      </c>
      <c r="B39" s="1" t="s">
        <v>1047</v>
      </c>
      <c r="C39" s="1">
        <v>11</v>
      </c>
      <c r="D39" s="1">
        <v>30.2</v>
      </c>
      <c r="E39" s="1" t="s">
        <v>1098</v>
      </c>
      <c r="F39" s="1" t="s">
        <v>1101</v>
      </c>
      <c r="G39" s="1" t="s">
        <v>1102</v>
      </c>
      <c r="H39" s="10">
        <v>3</v>
      </c>
      <c r="I39" s="8">
        <v>11.4</v>
      </c>
      <c r="J39" s="10">
        <v>4.53</v>
      </c>
    </row>
    <row r="40" spans="1:10" x14ac:dyDescent="0.25">
      <c r="A40" s="1" t="s">
        <v>1095</v>
      </c>
      <c r="B40" s="1" t="s">
        <v>1048</v>
      </c>
      <c r="C40" s="1">
        <v>2</v>
      </c>
      <c r="D40" s="1">
        <v>84</v>
      </c>
      <c r="E40" s="1" t="s">
        <v>1103</v>
      </c>
      <c r="F40" s="1" t="s">
        <v>1105</v>
      </c>
      <c r="G40" s="1">
        <v>3.97</v>
      </c>
      <c r="H40" s="10">
        <v>3</v>
      </c>
      <c r="I40" s="8">
        <v>19.100000000000001</v>
      </c>
      <c r="J40" s="10">
        <v>5.53</v>
      </c>
    </row>
    <row r="41" spans="1:10" x14ac:dyDescent="0.25">
      <c r="A41" s="1" t="s">
        <v>1095</v>
      </c>
      <c r="B41" s="1" t="s">
        <v>1048</v>
      </c>
      <c r="C41" s="1">
        <v>4</v>
      </c>
      <c r="D41" s="1">
        <v>16.5</v>
      </c>
      <c r="E41" s="1" t="s">
        <v>1104</v>
      </c>
      <c r="F41" s="1" t="s">
        <v>1106</v>
      </c>
      <c r="G41" s="1">
        <v>3.21</v>
      </c>
      <c r="H41" s="10">
        <v>3</v>
      </c>
      <c r="I41" s="8">
        <v>14.8</v>
      </c>
      <c r="J41" s="10">
        <v>-5.52</v>
      </c>
    </row>
    <row r="42" spans="1:10" x14ac:dyDescent="0.25">
      <c r="A42" s="1" t="s">
        <v>1095</v>
      </c>
      <c r="B42" s="1" t="s">
        <v>1048</v>
      </c>
      <c r="C42" s="1">
        <v>11</v>
      </c>
      <c r="D42" s="1">
        <v>28.7</v>
      </c>
      <c r="E42" s="1" t="s">
        <v>1098</v>
      </c>
      <c r="F42" s="1" t="s">
        <v>1107</v>
      </c>
      <c r="G42" s="1" t="s">
        <v>1157</v>
      </c>
      <c r="H42" s="10">
        <v>3</v>
      </c>
      <c r="I42" s="8">
        <v>12.8</v>
      </c>
      <c r="J42" s="10">
        <v>4.62</v>
      </c>
    </row>
    <row r="43" spans="1:10" x14ac:dyDescent="0.25">
      <c r="A43" s="1" t="s">
        <v>1108</v>
      </c>
      <c r="B43" s="1" t="s">
        <v>1047</v>
      </c>
      <c r="C43" s="1">
        <v>11</v>
      </c>
      <c r="D43" s="1">
        <v>60.2</v>
      </c>
      <c r="E43" s="1" t="s">
        <v>1075</v>
      </c>
      <c r="F43" s="1" t="s">
        <v>1077</v>
      </c>
      <c r="G43" s="1">
        <v>5.62</v>
      </c>
      <c r="H43" s="10">
        <v>3</v>
      </c>
      <c r="I43" s="8">
        <v>27.7</v>
      </c>
      <c r="J43" s="10">
        <v>9.73</v>
      </c>
    </row>
    <row r="44" spans="1:10" x14ac:dyDescent="0.25">
      <c r="A44" s="1" t="s">
        <v>1108</v>
      </c>
      <c r="B44" s="1" t="s">
        <v>1047</v>
      </c>
      <c r="C44" s="1" t="s">
        <v>1052</v>
      </c>
      <c r="D44" s="1">
        <v>56.6</v>
      </c>
      <c r="E44" s="1" t="s">
        <v>1063</v>
      </c>
      <c r="F44" s="1" t="s">
        <v>1110</v>
      </c>
      <c r="G44" s="1" t="s">
        <v>1112</v>
      </c>
      <c r="H44" s="10">
        <v>3</v>
      </c>
      <c r="I44" s="8">
        <v>11.3</v>
      </c>
      <c r="J44" s="10">
        <v>-6.29</v>
      </c>
    </row>
    <row r="45" spans="1:10" x14ac:dyDescent="0.25">
      <c r="A45" s="1" t="s">
        <v>1108</v>
      </c>
      <c r="B45" s="1" t="s">
        <v>1047</v>
      </c>
      <c r="C45" s="1">
        <v>1</v>
      </c>
      <c r="D45" s="1">
        <v>61</v>
      </c>
      <c r="E45" s="1" t="s">
        <v>1109</v>
      </c>
      <c r="F45" s="1" t="s">
        <v>1111</v>
      </c>
      <c r="G45" s="1" t="s">
        <v>1113</v>
      </c>
      <c r="H45" s="10">
        <v>3</v>
      </c>
      <c r="I45" s="8">
        <v>9.6999999999999993</v>
      </c>
      <c r="J45" s="10">
        <v>-6.18</v>
      </c>
    </row>
    <row r="46" spans="1:10" x14ac:dyDescent="0.25">
      <c r="A46" s="1" t="s">
        <v>1108</v>
      </c>
      <c r="B46" s="1" t="s">
        <v>1048</v>
      </c>
      <c r="C46" s="1">
        <v>1</v>
      </c>
      <c r="D46" s="1">
        <v>51.8</v>
      </c>
      <c r="E46" s="1" t="s">
        <v>1062</v>
      </c>
      <c r="F46" s="1" t="s">
        <v>1080</v>
      </c>
      <c r="G46" s="10">
        <v>3.9</v>
      </c>
      <c r="H46" s="10">
        <v>2.9</v>
      </c>
      <c r="I46" s="8">
        <v>22.4</v>
      </c>
      <c r="J46" s="10">
        <v>-8.6300000000000008</v>
      </c>
    </row>
    <row r="47" spans="1:10" x14ac:dyDescent="0.25">
      <c r="A47" s="1" t="s">
        <v>1108</v>
      </c>
      <c r="B47" s="1" t="s">
        <v>1048</v>
      </c>
      <c r="C47" s="1">
        <v>11</v>
      </c>
      <c r="D47" s="1">
        <v>55.6</v>
      </c>
      <c r="E47" s="1" t="s">
        <v>1065</v>
      </c>
      <c r="F47" s="1" t="s">
        <v>1053</v>
      </c>
      <c r="G47" s="1">
        <v>3.67</v>
      </c>
      <c r="H47" s="10">
        <v>2.9</v>
      </c>
      <c r="I47" s="8">
        <v>20.2</v>
      </c>
      <c r="J47" s="10">
        <v>8.81</v>
      </c>
    </row>
    <row r="48" spans="1:10" x14ac:dyDescent="0.25">
      <c r="A48" s="1" t="s">
        <v>1114</v>
      </c>
      <c r="B48" s="1" t="s">
        <v>1047</v>
      </c>
      <c r="C48" s="1">
        <v>1</v>
      </c>
      <c r="D48" s="1">
        <v>54.1</v>
      </c>
      <c r="E48" s="1" t="s">
        <v>1067</v>
      </c>
      <c r="F48" s="1" t="s">
        <v>1055</v>
      </c>
      <c r="G48" s="1">
        <v>5.43</v>
      </c>
      <c r="H48" s="10">
        <v>3</v>
      </c>
      <c r="I48" s="8">
        <v>24.5</v>
      </c>
      <c r="J48" s="10">
        <v>-0.16</v>
      </c>
    </row>
    <row r="49" spans="1:10" x14ac:dyDescent="0.25">
      <c r="A49" s="1" t="s">
        <v>1114</v>
      </c>
      <c r="B49" s="1" t="s">
        <v>1047</v>
      </c>
      <c r="C49" s="1">
        <v>2</v>
      </c>
      <c r="D49" s="1">
        <v>91.4</v>
      </c>
      <c r="E49" s="1" t="s">
        <v>1083</v>
      </c>
      <c r="F49" s="1" t="s">
        <v>838</v>
      </c>
      <c r="G49" s="1" t="s">
        <v>1115</v>
      </c>
      <c r="H49" s="10">
        <v>3</v>
      </c>
      <c r="I49" s="8">
        <v>11.1</v>
      </c>
      <c r="J49" s="10">
        <v>0.11</v>
      </c>
    </row>
    <row r="50" spans="1:10" x14ac:dyDescent="0.25">
      <c r="A50" s="1" t="s">
        <v>1114</v>
      </c>
      <c r="B50" s="1" t="s">
        <v>1048</v>
      </c>
      <c r="C50" s="1">
        <v>2</v>
      </c>
      <c r="D50" s="1">
        <v>55.3</v>
      </c>
      <c r="E50" s="1" t="s">
        <v>1086</v>
      </c>
      <c r="F50" s="1" t="s">
        <v>1087</v>
      </c>
      <c r="G50" s="10">
        <v>3</v>
      </c>
      <c r="H50" s="10">
        <v>3</v>
      </c>
      <c r="I50" s="8">
        <v>17.5</v>
      </c>
      <c r="J50" s="10">
        <v>0.12</v>
      </c>
    </row>
    <row r="51" spans="1:10" x14ac:dyDescent="0.25">
      <c r="A51" s="1" t="s">
        <v>1114</v>
      </c>
      <c r="B51" s="1" t="s">
        <v>1048</v>
      </c>
      <c r="C51" s="1">
        <v>1</v>
      </c>
      <c r="D51" s="1">
        <v>52.8</v>
      </c>
      <c r="E51" s="1" t="s">
        <v>1062</v>
      </c>
      <c r="F51" s="1" t="s">
        <v>1055</v>
      </c>
      <c r="G51" s="1" t="s">
        <v>1116</v>
      </c>
      <c r="H51" s="10">
        <v>3</v>
      </c>
      <c r="I51" s="8">
        <v>16.100000000000001</v>
      </c>
      <c r="J51" s="10">
        <v>-0.1</v>
      </c>
    </row>
    <row r="52" spans="1:10" x14ac:dyDescent="0.25">
      <c r="A52" s="1" t="s">
        <v>1114</v>
      </c>
      <c r="B52" s="1" t="s">
        <v>1048</v>
      </c>
      <c r="C52" s="1">
        <v>11</v>
      </c>
      <c r="D52" s="1">
        <v>27.7</v>
      </c>
      <c r="E52" s="1" t="s">
        <v>1098</v>
      </c>
      <c r="F52" s="1" t="s">
        <v>1107</v>
      </c>
      <c r="G52" s="1" t="s">
        <v>1158</v>
      </c>
      <c r="H52" s="10">
        <v>2.8</v>
      </c>
      <c r="I52" s="8">
        <v>10.6</v>
      </c>
      <c r="J52" s="10">
        <v>0.09</v>
      </c>
    </row>
    <row r="53" spans="1:10" x14ac:dyDescent="0.25">
      <c r="A53" s="1" t="s">
        <v>1117</v>
      </c>
      <c r="B53" s="1" t="s">
        <v>1047</v>
      </c>
      <c r="C53" s="1">
        <v>10</v>
      </c>
      <c r="D53" s="1">
        <v>2.1</v>
      </c>
      <c r="E53" s="1" t="s">
        <v>1118</v>
      </c>
      <c r="F53" s="1" t="s">
        <v>1120</v>
      </c>
      <c r="G53" s="1" t="s">
        <v>1121</v>
      </c>
      <c r="H53" s="10">
        <v>2.9</v>
      </c>
      <c r="I53" s="8">
        <v>13.5</v>
      </c>
      <c r="J53" s="10">
        <v>0.57999999999999996</v>
      </c>
    </row>
    <row r="54" spans="1:10" x14ac:dyDescent="0.25">
      <c r="A54" s="1" t="s">
        <v>1117</v>
      </c>
      <c r="B54" s="1" t="s">
        <v>1048</v>
      </c>
      <c r="C54" s="1">
        <v>5</v>
      </c>
      <c r="D54" s="10">
        <v>0</v>
      </c>
      <c r="E54" s="1" t="s">
        <v>1119</v>
      </c>
      <c r="F54" s="1" t="s">
        <v>873</v>
      </c>
      <c r="G54" s="1" t="s">
        <v>1122</v>
      </c>
      <c r="H54" s="10">
        <v>3</v>
      </c>
      <c r="I54" s="8">
        <v>10</v>
      </c>
      <c r="J54" s="10">
        <v>0.38</v>
      </c>
    </row>
    <row r="55" spans="1:10" x14ac:dyDescent="0.25">
      <c r="A55" s="1" t="s">
        <v>1123</v>
      </c>
      <c r="B55" s="1" t="s">
        <v>1047</v>
      </c>
      <c r="C55" s="1">
        <v>3</v>
      </c>
      <c r="D55" s="1">
        <v>24.7</v>
      </c>
      <c r="E55" s="1" t="s">
        <v>1124</v>
      </c>
      <c r="F55" s="1" t="s">
        <v>1126</v>
      </c>
      <c r="G55" s="1" t="s">
        <v>1128</v>
      </c>
      <c r="H55" s="10">
        <v>2.6</v>
      </c>
      <c r="I55" s="8">
        <v>8.6999999999999993</v>
      </c>
      <c r="J55" s="10">
        <v>15.83</v>
      </c>
    </row>
    <row r="56" spans="1:10" x14ac:dyDescent="0.25">
      <c r="A56" s="1" t="s">
        <v>1123</v>
      </c>
      <c r="B56" s="1" t="s">
        <v>1048</v>
      </c>
      <c r="C56" s="1">
        <v>2</v>
      </c>
      <c r="D56" s="1">
        <v>43.5</v>
      </c>
      <c r="E56" s="1" t="s">
        <v>1125</v>
      </c>
      <c r="F56" s="1" t="s">
        <v>1127</v>
      </c>
      <c r="G56" s="1">
        <v>3.23</v>
      </c>
      <c r="H56" s="10">
        <v>3</v>
      </c>
      <c r="I56" s="8">
        <v>22.3</v>
      </c>
      <c r="J56" s="10">
        <v>17.760000000000002</v>
      </c>
    </row>
    <row r="57" spans="1:10" x14ac:dyDescent="0.25">
      <c r="A57" s="1" t="s">
        <v>1129</v>
      </c>
      <c r="B57" s="1" t="s">
        <v>1047</v>
      </c>
      <c r="C57" s="1">
        <v>3</v>
      </c>
      <c r="D57" s="1">
        <v>8.9</v>
      </c>
      <c r="E57" s="1" t="s">
        <v>1130</v>
      </c>
      <c r="F57" s="1" t="s">
        <v>1132</v>
      </c>
      <c r="G57" s="1" t="s">
        <v>1134</v>
      </c>
      <c r="H57" s="10">
        <v>3</v>
      </c>
      <c r="I57" s="8">
        <v>12.5</v>
      </c>
      <c r="J57" s="10">
        <v>0.46</v>
      </c>
    </row>
    <row r="58" spans="1:10" x14ac:dyDescent="0.25">
      <c r="A58" s="1" t="s">
        <v>1129</v>
      </c>
      <c r="B58" s="1" t="s">
        <v>1048</v>
      </c>
      <c r="C58" s="1">
        <v>5</v>
      </c>
      <c r="D58" s="1">
        <v>37.9</v>
      </c>
      <c r="E58" s="1" t="s">
        <v>1131</v>
      </c>
      <c r="F58" s="1" t="s">
        <v>1133</v>
      </c>
      <c r="G58" s="1">
        <v>3.23</v>
      </c>
      <c r="H58" s="10">
        <v>3</v>
      </c>
      <c r="I58" s="8">
        <v>18.399999999999999</v>
      </c>
      <c r="J58" s="10">
        <v>-0.6</v>
      </c>
    </row>
    <row r="59" spans="1:10" x14ac:dyDescent="0.25">
      <c r="A59" s="1" t="s">
        <v>1129</v>
      </c>
      <c r="B59" s="1" t="s">
        <v>1048</v>
      </c>
      <c r="C59" s="1">
        <v>2</v>
      </c>
      <c r="D59" s="1">
        <v>91.4</v>
      </c>
      <c r="E59" s="1" t="s">
        <v>1083</v>
      </c>
      <c r="F59" s="1" t="s">
        <v>838</v>
      </c>
      <c r="G59" s="1">
        <v>3.46</v>
      </c>
      <c r="H59" s="10">
        <v>3</v>
      </c>
      <c r="I59" s="8">
        <v>22</v>
      </c>
      <c r="J59" s="10">
        <v>-0.43</v>
      </c>
    </row>
    <row r="60" spans="1:10" x14ac:dyDescent="0.25">
      <c r="A60" s="1" t="s">
        <v>1135</v>
      </c>
      <c r="B60" s="1" t="s">
        <v>1047</v>
      </c>
      <c r="C60" s="1">
        <v>1</v>
      </c>
      <c r="D60" s="1">
        <v>87.9</v>
      </c>
      <c r="E60" s="1" t="s">
        <v>1136</v>
      </c>
      <c r="F60" s="1" t="s">
        <v>1138</v>
      </c>
      <c r="G60" s="1">
        <v>4.78</v>
      </c>
      <c r="H60" s="10">
        <v>2.5</v>
      </c>
      <c r="I60" s="8">
        <v>27.3</v>
      </c>
      <c r="J60" s="10">
        <v>2.25</v>
      </c>
    </row>
    <row r="61" spans="1:10" x14ac:dyDescent="0.25">
      <c r="A61" s="1" t="s">
        <v>1135</v>
      </c>
      <c r="B61" s="1" t="s">
        <v>1047</v>
      </c>
      <c r="C61" s="1">
        <v>10</v>
      </c>
      <c r="D61" s="1">
        <v>2.7</v>
      </c>
      <c r="E61" s="1" t="s">
        <v>1137</v>
      </c>
      <c r="F61" s="1" t="s">
        <v>1139</v>
      </c>
      <c r="G61" s="1">
        <v>2.76</v>
      </c>
      <c r="H61" s="10">
        <v>2.5</v>
      </c>
      <c r="I61" s="8">
        <v>15.3</v>
      </c>
      <c r="J61" s="10">
        <v>-1.41</v>
      </c>
    </row>
    <row r="62" spans="1:10" x14ac:dyDescent="0.25">
      <c r="A62" s="1" t="s">
        <v>1135</v>
      </c>
      <c r="B62" s="1" t="s">
        <v>1048</v>
      </c>
      <c r="C62" s="1">
        <v>1</v>
      </c>
      <c r="D62" s="1">
        <v>92.9</v>
      </c>
      <c r="E62" s="1" t="s">
        <v>1140</v>
      </c>
      <c r="F62" s="1" t="s">
        <v>1138</v>
      </c>
      <c r="G62" s="1">
        <v>3.65</v>
      </c>
      <c r="H62" s="10">
        <v>3</v>
      </c>
      <c r="I62" s="8">
        <v>20.6</v>
      </c>
      <c r="J62" s="10">
        <v>1.43</v>
      </c>
    </row>
    <row r="63" spans="1:10" x14ac:dyDescent="0.25">
      <c r="A63" s="1" t="s">
        <v>1135</v>
      </c>
      <c r="B63" s="1" t="s">
        <v>1048</v>
      </c>
      <c r="C63" s="1">
        <v>4</v>
      </c>
      <c r="D63" s="1">
        <v>6.6</v>
      </c>
      <c r="E63" s="1" t="s">
        <v>1141</v>
      </c>
      <c r="F63" s="1" t="s">
        <v>1142</v>
      </c>
      <c r="G63" s="1">
        <v>3.52</v>
      </c>
      <c r="H63" s="10">
        <v>3</v>
      </c>
      <c r="I63" s="8">
        <v>20.3</v>
      </c>
      <c r="J63" s="10">
        <v>1.23</v>
      </c>
    </row>
    <row r="64" spans="1:10" x14ac:dyDescent="0.25">
      <c r="A64" s="1" t="s">
        <v>1135</v>
      </c>
      <c r="B64" s="1" t="s">
        <v>1048</v>
      </c>
      <c r="C64" s="1">
        <v>2</v>
      </c>
      <c r="D64" s="1">
        <v>87.9</v>
      </c>
      <c r="E64" s="1" t="s">
        <v>1083</v>
      </c>
      <c r="F64" s="1" t="s">
        <v>1143</v>
      </c>
      <c r="G64" s="1" t="s">
        <v>1144</v>
      </c>
      <c r="H64" s="10">
        <v>3</v>
      </c>
      <c r="I64" s="8">
        <v>11.5</v>
      </c>
      <c r="J64" s="10">
        <v>-0.98</v>
      </c>
    </row>
    <row r="65" spans="1:10" x14ac:dyDescent="0.25">
      <c r="A65" s="1" t="s">
        <v>1145</v>
      </c>
      <c r="B65" s="1" t="s">
        <v>1047</v>
      </c>
      <c r="C65" s="1">
        <v>1</v>
      </c>
      <c r="D65" s="1">
        <v>51.8</v>
      </c>
      <c r="E65" s="1" t="s">
        <v>1062</v>
      </c>
      <c r="F65" s="1" t="s">
        <v>1080</v>
      </c>
      <c r="G65" s="1">
        <v>5.25</v>
      </c>
      <c r="H65" s="10">
        <v>3</v>
      </c>
      <c r="I65" s="8">
        <v>31</v>
      </c>
      <c r="J65" s="10">
        <v>-0.46</v>
      </c>
    </row>
    <row r="66" spans="1:10" x14ac:dyDescent="0.25">
      <c r="A66" s="1" t="s">
        <v>1145</v>
      </c>
      <c r="B66" s="1" t="s">
        <v>1047</v>
      </c>
      <c r="C66" s="1">
        <v>4</v>
      </c>
      <c r="D66" s="1">
        <v>19.5</v>
      </c>
      <c r="E66" s="1" t="s">
        <v>1104</v>
      </c>
      <c r="F66" s="1" t="s">
        <v>1106</v>
      </c>
      <c r="G66" s="1" t="s">
        <v>1073</v>
      </c>
      <c r="H66" s="10">
        <v>3</v>
      </c>
      <c r="I66" s="8">
        <v>14.7</v>
      </c>
      <c r="J66" s="10">
        <v>0.39</v>
      </c>
    </row>
    <row r="67" spans="1:10" x14ac:dyDescent="0.25">
      <c r="A67" s="1" t="s">
        <v>1145</v>
      </c>
      <c r="B67" s="1" t="s">
        <v>1047</v>
      </c>
      <c r="C67" s="1">
        <v>7</v>
      </c>
      <c r="D67" s="1">
        <v>61.2</v>
      </c>
      <c r="E67" s="1" t="s">
        <v>1146</v>
      </c>
      <c r="F67" s="1" t="s">
        <v>1147</v>
      </c>
      <c r="G67" s="1" t="s">
        <v>1148</v>
      </c>
      <c r="H67" s="10">
        <v>3</v>
      </c>
      <c r="I67" s="8">
        <v>9.3000000000000007</v>
      </c>
      <c r="J67" s="10">
        <v>-0.27</v>
      </c>
    </row>
    <row r="68" spans="1:10" x14ac:dyDescent="0.25">
      <c r="A68" s="1" t="s">
        <v>1145</v>
      </c>
      <c r="B68" s="1" t="s">
        <v>1048</v>
      </c>
      <c r="C68" s="1">
        <v>11</v>
      </c>
      <c r="D68" s="1">
        <v>51.1</v>
      </c>
      <c r="E68" s="1" t="s">
        <v>1149</v>
      </c>
      <c r="F68" s="1" t="s">
        <v>1150</v>
      </c>
      <c r="G68" s="1" t="s">
        <v>1151</v>
      </c>
      <c r="H68" s="10">
        <v>3</v>
      </c>
      <c r="I68" s="8">
        <v>12.4</v>
      </c>
      <c r="J68" s="10">
        <v>-0.28000000000000003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trials info</vt:lpstr>
      <vt:lpstr>P3_2018</vt:lpstr>
      <vt:lpstr>FRC field map</vt:lpstr>
      <vt:lpstr>SPD lines</vt:lpstr>
      <vt:lpstr>Pop Line</vt:lpstr>
      <vt:lpstr>TD1F5_GEM map</vt:lpstr>
      <vt:lpstr>TD1F5_GEM_QTL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WK</cp:lastModifiedBy>
  <dcterms:created xsi:type="dcterms:W3CDTF">2018-07-30T22:30:34Z</dcterms:created>
  <dcterms:modified xsi:type="dcterms:W3CDTF">2018-12-18T15:28:33Z</dcterms:modified>
</cp:coreProperties>
</file>