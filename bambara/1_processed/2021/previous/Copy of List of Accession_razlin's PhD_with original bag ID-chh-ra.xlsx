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mohda10\Documents\PhD work\THESIS\Chapter 5_Selection index\Data from CFF\Rawdata for SI\From HH\"/>
    </mc:Choice>
  </mc:AlternateContent>
  <bookViews>
    <workbookView xWindow="0" yWindow="0" windowWidth="28800" windowHeight="12435"/>
  </bookViews>
  <sheets>
    <sheet name="Acc_Razlin's PhD" sheetId="1" r:id="rId1"/>
    <sheet name="Copy_Seed SummarySheet_jul2018" sheetId="3" r:id="rId2"/>
    <sheet name="Full set_RazlinPhD" sheetId="4" r:id="rId3"/>
    <sheet name="List of plots-intro" sheetId="6" r:id="rId4"/>
  </sheets>
  <externalReferences>
    <externalReference r:id="rId5"/>
  </externalReferences>
  <definedNames>
    <definedName name="_xlnm._FilterDatabase" localSheetId="0" hidden="1">'Acc_Razlin''s PhD'!$D$1:$D$101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93" i="3" l="1"/>
  <c r="Q286" i="3"/>
  <c r="Q261" i="3"/>
  <c r="Q237" i="3"/>
  <c r="Q231" i="3"/>
  <c r="P228" i="3"/>
  <c r="Q228" i="3" s="1"/>
  <c r="P227" i="3"/>
  <c r="Q227" i="3" s="1"/>
  <c r="P221" i="3"/>
  <c r="Q221" i="3" s="1"/>
  <c r="Q210" i="3"/>
  <c r="Q204" i="3"/>
  <c r="Q201" i="3"/>
  <c r="Q198" i="3"/>
  <c r="Q195" i="3"/>
  <c r="Q187" i="3"/>
  <c r="Q185" i="3"/>
  <c r="Q184" i="3"/>
  <c r="Q180" i="3"/>
  <c r="Q177" i="3"/>
  <c r="Q164" i="3"/>
  <c r="Q158" i="3"/>
  <c r="P148" i="3"/>
  <c r="Q148" i="3" s="1"/>
  <c r="P146" i="3"/>
  <c r="Q146" i="3" s="1"/>
  <c r="Q139" i="3"/>
  <c r="Q138" i="3"/>
  <c r="Q108" i="3"/>
  <c r="Q106" i="3"/>
  <c r="Q101" i="3"/>
  <c r="Q100" i="3"/>
  <c r="Q99" i="3"/>
  <c r="Q87" i="3"/>
  <c r="Q86" i="3"/>
  <c r="Q76" i="3"/>
  <c r="Q72" i="3"/>
  <c r="Q70" i="3"/>
  <c r="Q65" i="3"/>
  <c r="Q61" i="3"/>
  <c r="Q56" i="3"/>
  <c r="Q55" i="3"/>
  <c r="Q50" i="3"/>
  <c r="Q49" i="3"/>
  <c r="Q46" i="3"/>
  <c r="Q45" i="3"/>
  <c r="Q41" i="3"/>
  <c r="Q39" i="3"/>
  <c r="Q26" i="3"/>
  <c r="Q7" i="3"/>
  <c r="Q4" i="3"/>
  <c r="S2" i="3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l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l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</calcChain>
</file>

<file path=xl/comments1.xml><?xml version="1.0" encoding="utf-8"?>
<comments xmlns="http://schemas.openxmlformats.org/spreadsheetml/2006/main">
  <authors>
    <author>HUI HUI</author>
  </authors>
  <commentList>
    <comment ref="D18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Could it be P7 2016? Which will be used in 2019 planting as well.</t>
        </r>
      </text>
    </comment>
    <comment ref="D101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I suspect this is Phase 3 as we did not have Burkina in Phase 1. Both are planted in 2018.</t>
        </r>
      </text>
    </comment>
  </commentList>
</comments>
</file>

<file path=xl/comments2.xml><?xml version="1.0" encoding="utf-8"?>
<comments xmlns="http://schemas.openxmlformats.org/spreadsheetml/2006/main">
  <authors>
    <author>HUI HUI</author>
    <author xml:space="preserve">Razlin Azman 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Is this Ramayana parental line?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Similar to 100SB16ANAM-C?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What is this?
100SB16ANMAM-C A-16?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M14 113 WAS BWA?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81Acc385TZA-1 (FRC 2015 Jan-Apr)?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BHC16107 - Gresik?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Seeds from FRC 2015 Jan-Apr?</t>
        </r>
      </text>
    </comment>
    <comment ref="D27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What is this?</t>
        </r>
      </text>
    </comment>
    <comment ref="D28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CIV? Not CIB
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??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??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?? 92AHM968NAM-C? or 88AHM?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??</t>
        </r>
      </text>
    </comment>
    <comment ref="D47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What is UBBD?</t>
        </r>
      </text>
    </comment>
    <comment ref="C48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One of the plants from previous planting (is it from 2014)?</t>
        </r>
      </text>
    </comment>
    <comment ref="D49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One of the plants from previous planting (is it from 2014)?</t>
        </r>
      </text>
    </comment>
    <comment ref="D50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Assuming seeds taken from P7 (2015/ON HILL)? Which bag?</t>
        </r>
      </text>
    </comment>
    <comment ref="D51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This is the first batch of burkina received from UK?
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Assuming all the burkina is single genotype? </t>
        </r>
      </text>
    </comment>
    <comment ref="D54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Is this different experiment from P7 (2015/ON HILL)?
</t>
        </r>
      </text>
    </comment>
    <comment ref="D55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Seeds from first batch of Burkina (2014)?</t>
        </r>
      </text>
    </comment>
    <comment ref="D72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is this cream with black eye
-14 as well?</t>
        </r>
      </text>
    </comment>
    <comment ref="D93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CWBS single line or landrace?
</t>
        </r>
      </text>
    </comment>
    <comment ref="D104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DOD RED?
</t>
        </r>
      </text>
    </comment>
    <comment ref="D108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KM = Exsokoto?</t>
        </r>
      </text>
    </comment>
    <comment ref="C138" authorId="1" shapeId="0">
      <text>
        <r>
          <rPr>
            <b/>
            <sz val="9"/>
            <color indexed="81"/>
            <rFont val="Tahoma"/>
            <family val="2"/>
          </rPr>
          <t>Razlin Azman :</t>
        </r>
        <r>
          <rPr>
            <sz val="9"/>
            <color indexed="81"/>
            <rFont val="Tahoma"/>
            <family val="2"/>
          </rPr>
          <t xml:space="preserve">
The Gresik I took was from Maha's 2016 trial at FRC.  She planted Gresik genotype from UK</t>
        </r>
      </text>
    </comment>
    <comment ref="D177" authorId="1" shapeId="0">
      <text>
        <r>
          <rPr>
            <b/>
            <sz val="9"/>
            <color indexed="81"/>
            <rFont val="Tahoma"/>
            <family val="2"/>
          </rPr>
          <t xml:space="preserve">Razlin Azman :Actual seed number much lower than this!!!
</t>
        </r>
      </text>
    </comment>
    <comment ref="D185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Another KM8 - meaning?</t>
        </r>
      </text>
    </comment>
    <comment ref="C192" authorId="1" shapeId="0">
      <text>
        <r>
          <rPr>
            <b/>
            <sz val="9"/>
            <color indexed="81"/>
            <rFont val="Tahoma"/>
            <family val="2"/>
          </rPr>
          <t>Razlin Azman 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7" authorId="1" shapeId="0">
      <text>
        <r>
          <rPr>
            <b/>
            <sz val="9"/>
            <color indexed="81"/>
            <rFont val="Tahoma"/>
            <family val="2"/>
          </rPr>
          <t>Razlin Azman :</t>
        </r>
        <r>
          <rPr>
            <sz val="9"/>
            <color indexed="81"/>
            <rFont val="Tahoma"/>
            <family val="2"/>
          </rPr>
          <t xml:space="preserve">
I could not find all the other Mana bags. Seed numbers here are incorrect! </t>
        </r>
      </text>
    </comment>
    <comment ref="D201" authorId="1" shapeId="0">
      <text>
        <r>
          <rPr>
            <b/>
            <sz val="9"/>
            <color indexed="81"/>
            <rFont val="Tahoma"/>
            <family val="2"/>
          </rPr>
          <t>Razlin Azman :</t>
        </r>
        <r>
          <rPr>
            <sz val="9"/>
            <color indexed="81"/>
            <rFont val="Tahoma"/>
            <family val="2"/>
          </rPr>
          <t xml:space="preserve">
Seed numbers are much lower!
</t>
        </r>
      </text>
    </comment>
    <comment ref="D206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Mottled red from Tamale market?</t>
        </r>
      </text>
    </comment>
    <comment ref="D218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grow into M(2017) Nav…
</t>
        </r>
      </text>
    </comment>
    <comment ref="D222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NAV-13-13-1 is it from NAV4?</t>
        </r>
      </text>
    </comment>
    <comment ref="C259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Unclear?</t>
        </r>
      </text>
    </comment>
    <comment ref="D259" authorId="0" shapeId="0">
      <text>
        <r>
          <rPr>
            <b/>
            <sz val="9"/>
            <color indexed="81"/>
            <rFont val="Tahoma"/>
            <family val="2"/>
          </rPr>
          <t>HUI HUI:</t>
        </r>
        <r>
          <rPr>
            <sz val="9"/>
            <color indexed="81"/>
            <rFont val="Tahoma"/>
            <family val="2"/>
          </rPr>
          <t xml:space="preserve">
Unclear?</t>
        </r>
      </text>
    </comment>
  </commentList>
</comments>
</file>

<file path=xl/comments3.xml><?xml version="1.0" encoding="utf-8"?>
<comments xmlns="http://schemas.openxmlformats.org/spreadsheetml/2006/main">
  <authors>
    <author xml:space="preserve">Razlin Azman </author>
  </authors>
  <commentList>
    <comment ref="O2" authorId="0" shapeId="0">
      <text>
        <r>
          <rPr>
            <b/>
            <sz val="9"/>
            <color indexed="81"/>
            <rFont val="Tahoma"/>
            <family val="2"/>
          </rPr>
          <t>Razlin Azman :</t>
        </r>
        <r>
          <rPr>
            <sz val="9"/>
            <color indexed="81"/>
            <rFont val="Tahoma"/>
            <family val="2"/>
          </rPr>
          <t xml:space="preserve">
Linoleic, oleic, palmitic, stearic behenic, arachidic, behenic, lignoceric, alpha-linolenic</t>
        </r>
      </text>
    </comment>
  </commentList>
</comments>
</file>

<file path=xl/sharedStrings.xml><?xml version="1.0" encoding="utf-8"?>
<sst xmlns="http://schemas.openxmlformats.org/spreadsheetml/2006/main" count="3082" uniqueCount="719">
  <si>
    <t>Accession Name</t>
  </si>
  <si>
    <t>Identifier</t>
  </si>
  <si>
    <t>100SB16ANAM-C</t>
  </si>
  <si>
    <t>UNSB16</t>
  </si>
  <si>
    <t>104S-1913NAM</t>
  </si>
  <si>
    <t>UNSB17</t>
  </si>
  <si>
    <t>109BWA1BWA-1</t>
  </si>
  <si>
    <t>UNSB4</t>
  </si>
  <si>
    <t>20Acc118CIV-B</t>
  </si>
  <si>
    <t>UNSB6</t>
  </si>
  <si>
    <t>56Acc89MLI-C</t>
  </si>
  <si>
    <t>UNSB9</t>
  </si>
  <si>
    <t>84ACC696ZMB-2</t>
  </si>
  <si>
    <t>UNSB2</t>
  </si>
  <si>
    <t>99SB4-2NAM-A</t>
  </si>
  <si>
    <t>UNSB15</t>
  </si>
  <si>
    <t>BC12105</t>
  </si>
  <si>
    <t>UNSB69</t>
  </si>
  <si>
    <t>BC31107</t>
  </si>
  <si>
    <t>UNSB72</t>
  </si>
  <si>
    <t>BCGC12107</t>
  </si>
  <si>
    <t>UNSB67</t>
  </si>
  <si>
    <t>BCGC23107</t>
  </si>
  <si>
    <t>UNSB68</t>
  </si>
  <si>
    <t>BCL33107</t>
  </si>
  <si>
    <t>UNSB66</t>
  </si>
  <si>
    <t>BH16107</t>
  </si>
  <si>
    <t>UNSB71</t>
  </si>
  <si>
    <t>BH17107</t>
  </si>
  <si>
    <t>UNSB64</t>
  </si>
  <si>
    <t>BD</t>
  </si>
  <si>
    <t>UNSB25</t>
  </si>
  <si>
    <t>Cikur 2.1</t>
  </si>
  <si>
    <t>UNSB29</t>
  </si>
  <si>
    <t>Cikur 2.3</t>
  </si>
  <si>
    <t>UNSB30</t>
  </si>
  <si>
    <t>Cikur 3.3</t>
  </si>
  <si>
    <t>UNSB32</t>
  </si>
  <si>
    <t>Cream Grey Eye-49</t>
  </si>
  <si>
    <t>Cream Light Brown Eye</t>
  </si>
  <si>
    <t>Cream with black splash-13-1(CWBS)</t>
  </si>
  <si>
    <t>DodR</t>
  </si>
  <si>
    <t>UNSB18</t>
  </si>
  <si>
    <t>Accession is not listed in Seed Summary sheet. Seeds were taken from 2015 UNSB bags</t>
  </si>
  <si>
    <t>Dotted Brown with Black Eye</t>
  </si>
  <si>
    <t>Exsokoto (Mukhtar)</t>
  </si>
  <si>
    <t>Exsokoto-39</t>
  </si>
  <si>
    <t>Exsokoto-177</t>
  </si>
  <si>
    <t>Exsokoto-183</t>
  </si>
  <si>
    <t>GC11105</t>
  </si>
  <si>
    <t>UNSB58</t>
  </si>
  <si>
    <t>GC32105</t>
  </si>
  <si>
    <t>UNSB54</t>
  </si>
  <si>
    <t>GCL13105</t>
  </si>
  <si>
    <t>UNSB62</t>
  </si>
  <si>
    <t>GH17105</t>
  </si>
  <si>
    <t>UNSB52</t>
  </si>
  <si>
    <t>GH36107</t>
  </si>
  <si>
    <t>UNSB60</t>
  </si>
  <si>
    <t>GH37107</t>
  </si>
  <si>
    <t>UNSB53</t>
  </si>
  <si>
    <t>GHC36105</t>
  </si>
  <si>
    <t>UNSB56</t>
  </si>
  <si>
    <t>GOBRAS2.2</t>
  </si>
  <si>
    <t>UNSB34</t>
  </si>
  <si>
    <t>UNSB20</t>
  </si>
  <si>
    <t>IPB Bam-1</t>
  </si>
  <si>
    <t>UNSB42</t>
  </si>
  <si>
    <t>IPB Bam-2</t>
  </si>
  <si>
    <t>UNSB43</t>
  </si>
  <si>
    <t>IPB Bam-5</t>
  </si>
  <si>
    <t>UNSB46</t>
  </si>
  <si>
    <t>IPB Bam-6</t>
  </si>
  <si>
    <t>UNSB47</t>
  </si>
  <si>
    <t>IPB Bam-10</t>
  </si>
  <si>
    <t>UNSB51</t>
  </si>
  <si>
    <t>Kaaro-4</t>
  </si>
  <si>
    <t>Kaaro-66</t>
  </si>
  <si>
    <t>Kaaro-74</t>
  </si>
  <si>
    <t>Light Brown Light Brown Eye (LBLBE)</t>
  </si>
  <si>
    <t>Nav4-13 (NAV0983 etc)</t>
  </si>
  <si>
    <t>Not on Seed List - seeds taken from bag with ID: 1058,1040,1076,1095,1080,1141,1036,1101,</t>
  </si>
  <si>
    <t>S19-3</t>
  </si>
  <si>
    <t>S190787 etc</t>
  </si>
  <si>
    <t>Songkhla-1</t>
  </si>
  <si>
    <t>UNSB23?</t>
  </si>
  <si>
    <t>Songkhla-1-38</t>
  </si>
  <si>
    <t>Songkhla-1-72</t>
  </si>
  <si>
    <t>Songkhla-1-90</t>
  </si>
  <si>
    <t>Sukuraja-2</t>
  </si>
  <si>
    <t>UNSB40</t>
  </si>
  <si>
    <t>thung yang dang</t>
  </si>
  <si>
    <t>Prakit KU</t>
  </si>
  <si>
    <t>TVSU89</t>
  </si>
  <si>
    <t>Uniswa Red 343</t>
  </si>
  <si>
    <t>UR343</t>
  </si>
  <si>
    <t>URUG2(1)</t>
  </si>
  <si>
    <t>UNSB41</t>
  </si>
  <si>
    <t>Zebra Cream-8-x</t>
  </si>
  <si>
    <t>Zebra Cream-10 (KM10)</t>
  </si>
  <si>
    <t>60ACC32NGA-A</t>
  </si>
  <si>
    <t>UNSB10</t>
  </si>
  <si>
    <t>1-76ACC390SDN-C-A-11</t>
  </si>
  <si>
    <t>UNSB11</t>
  </si>
  <si>
    <t>91UNISRSWA-B</t>
  </si>
  <si>
    <t>UNSB13</t>
  </si>
  <si>
    <t>92AHM968NAM-C</t>
  </si>
  <si>
    <t>UNSB14</t>
  </si>
  <si>
    <t>BC14105</t>
  </si>
  <si>
    <t>UNSB65</t>
  </si>
  <si>
    <t>DipC</t>
  </si>
  <si>
    <t>GC35107</t>
  </si>
  <si>
    <t>UNSB61</t>
  </si>
  <si>
    <t>GH21105</t>
  </si>
  <si>
    <t>UNSB57</t>
  </si>
  <si>
    <t>GHC24105</t>
  </si>
  <si>
    <t>UNSB63</t>
  </si>
  <si>
    <t>GHC37105</t>
  </si>
  <si>
    <t>UNSB59</t>
  </si>
  <si>
    <t>GRESIK</t>
  </si>
  <si>
    <t>(Maha Trial 2016)</t>
  </si>
  <si>
    <t>Seeds taken from Maha's planting (2016), to my memory, these are the single genotype gresik from UK. This batch of seed is NOT listed on seed germplasm or Summary sheet</t>
  </si>
  <si>
    <t>LunT</t>
  </si>
  <si>
    <t>UNSB21</t>
  </si>
  <si>
    <t>Mottled Black</t>
  </si>
  <si>
    <t>Rajap 3.2</t>
  </si>
  <si>
    <t>UNSB37</t>
  </si>
  <si>
    <t>Situraja2</t>
  </si>
  <si>
    <t>UNSB38</t>
  </si>
  <si>
    <t>TVSU738</t>
  </si>
  <si>
    <t>Uniswa Red -Alex</t>
  </si>
  <si>
    <t>Alex</t>
  </si>
  <si>
    <t>NO</t>
  </si>
  <si>
    <t>PROJECT</t>
  </si>
  <si>
    <t>ACCESSION</t>
  </si>
  <si>
    <t>NOS</t>
  </si>
  <si>
    <t>TNOS</t>
  </si>
  <si>
    <t>TNOS after actual count**</t>
  </si>
  <si>
    <t>number of plants or seed bag</t>
  </si>
  <si>
    <t>Remarks</t>
  </si>
  <si>
    <t>Code</t>
  </si>
  <si>
    <t>Origin</t>
  </si>
  <si>
    <t>Remarks (*some have multiple bags with same label)</t>
  </si>
  <si>
    <t>Type of seeds</t>
  </si>
  <si>
    <t>Harvest per plant or per bulk</t>
  </si>
  <si>
    <t>Seeds have been used (yield plot/GWG/NamZ)</t>
  </si>
  <si>
    <t xml:space="preserve">Remaining seeds </t>
  </si>
  <si>
    <t>Harvested seeds (2018)</t>
  </si>
  <si>
    <t>New number of seeds (June 2018)</t>
  </si>
  <si>
    <t>NP</t>
  </si>
  <si>
    <t>RAMAYAN</t>
  </si>
  <si>
    <t>?118ramayanaIND -5 (UoN)</t>
  </si>
  <si>
    <t>P7 (2016)</t>
  </si>
  <si>
    <t>RAMAYAN-1288</t>
  </si>
  <si>
    <t>Lines selected by Razlin and ground. Brought back to SCU for analysis</t>
  </si>
  <si>
    <t>M (2016/PLOT4)</t>
  </si>
  <si>
    <t>100SB16ANAM</t>
  </si>
  <si>
    <t>ANAM C - X</t>
  </si>
  <si>
    <t>FRC 2016 plot 4</t>
  </si>
  <si>
    <t>UK</t>
  </si>
  <si>
    <t>Single genotype</t>
  </si>
  <si>
    <t>100SBANMAM-C-A-16 -4</t>
  </si>
  <si>
    <t>P7 (2016) - Kedah</t>
  </si>
  <si>
    <t>Ozie's selection</t>
  </si>
  <si>
    <t>M (2017)</t>
  </si>
  <si>
    <t>WASBWA-1286</t>
  </si>
  <si>
    <t>FRC 2017 Multiplication</t>
  </si>
  <si>
    <t>109BWA1BWA-1?</t>
  </si>
  <si>
    <t>48ACC790KEN-B</t>
  </si>
  <si>
    <t>UNSB7</t>
  </si>
  <si>
    <t>IITA; Kenya</t>
  </si>
  <si>
    <t>4ACC144GHA-B</t>
  </si>
  <si>
    <t>UNSB5</t>
  </si>
  <si>
    <t>IITA; Ghana</t>
  </si>
  <si>
    <t>50ACC792ZWE-B</t>
  </si>
  <si>
    <t>UNSB8</t>
  </si>
  <si>
    <t>IITA; Zimbabwe</t>
  </si>
  <si>
    <t>56ACC89MLI-C</t>
  </si>
  <si>
    <t>IITA: Mali</t>
  </si>
  <si>
    <t>IITA: Nigeria</t>
  </si>
  <si>
    <t>76ACC390SDN-C</t>
  </si>
  <si>
    <t>1-76ACC390SDN-C-A-11 (1-10)</t>
  </si>
  <si>
    <t>81ACC385TZA-1</t>
  </si>
  <si>
    <t>81acc385t2a (Siise UNMC)</t>
  </si>
  <si>
    <t xml:space="preserve">UNSB1 </t>
  </si>
  <si>
    <t>IITA: Tanzania</t>
  </si>
  <si>
    <t>UNSB1</t>
  </si>
  <si>
    <t>85ACC754ZMB-A</t>
  </si>
  <si>
    <t>UNSB12</t>
  </si>
  <si>
    <t>88AHM753NAM-2</t>
  </si>
  <si>
    <t>UNSB3</t>
  </si>
  <si>
    <t xml:space="preserve">1-BHC16107 </t>
  </si>
  <si>
    <t>1-BHC16107 -X</t>
  </si>
  <si>
    <t>Landrace - genotype</t>
  </si>
  <si>
    <t>20Acc118CIV-B -X</t>
  </si>
  <si>
    <t>IITA; Ivory Coast</t>
  </si>
  <si>
    <t>20ACC118-1284</t>
  </si>
  <si>
    <t>20ACC118CIB-B</t>
  </si>
  <si>
    <t>29ahm968nam (Siise UNMC)</t>
  </si>
  <si>
    <t>60ACC32-1285</t>
  </si>
  <si>
    <t>ahm (Siise UNMC)</t>
  </si>
  <si>
    <t>Sukabumi</t>
  </si>
  <si>
    <t>Gresik - Indonesia</t>
  </si>
  <si>
    <t xml:space="preserve">BC 31107 </t>
  </si>
  <si>
    <t>P1 (2017)</t>
  </si>
  <si>
    <t>BC 31107 (1-53)</t>
  </si>
  <si>
    <t>FRC 2017</t>
  </si>
  <si>
    <t xml:space="preserve">BCGC 11107 </t>
  </si>
  <si>
    <t>BCGC 11107 (1-28)</t>
  </si>
  <si>
    <t>UNSB73</t>
  </si>
  <si>
    <t xml:space="preserve">BCGC 13107 </t>
  </si>
  <si>
    <t>BCGC 13107 (1-79)</t>
  </si>
  <si>
    <t>UNSB70</t>
  </si>
  <si>
    <t>BCL33107 (1-29)</t>
  </si>
  <si>
    <t xml:space="preserve">BH 16107 </t>
  </si>
  <si>
    <t>BH 16107 (1-35)</t>
  </si>
  <si>
    <t>UBBD-1313</t>
  </si>
  <si>
    <t>Brawijaya-Indonesia</t>
  </si>
  <si>
    <t>P7 (2015/ON HILL)</t>
  </si>
  <si>
    <t xml:space="preserve">BLACK </t>
  </si>
  <si>
    <t>BLACK - 5,6,7,9, 11,22</t>
  </si>
  <si>
    <t>FRC 2015 P7 Jul-Nov (wet)</t>
  </si>
  <si>
    <t>Ghana</t>
  </si>
  <si>
    <t>Tamale</t>
  </si>
  <si>
    <t>BOGOR</t>
  </si>
  <si>
    <t>BOGOR -1</t>
  </si>
  <si>
    <t>BOGOR -1 - X</t>
  </si>
  <si>
    <t>All bulk for Yield Plot 2018</t>
  </si>
  <si>
    <t>BURKINA</t>
  </si>
  <si>
    <t>BURKINA #P2014(2016)_S</t>
  </si>
  <si>
    <t>ICRAF8</t>
  </si>
  <si>
    <t>BURKINA (KM5)</t>
  </si>
  <si>
    <t>KM5 - Kedah Multiplication/bulk</t>
  </si>
  <si>
    <t>burkina (Siise UNMC)</t>
  </si>
  <si>
    <t>P7 (2015)</t>
  </si>
  <si>
    <t>Burkina - X</t>
  </si>
  <si>
    <t>Kedah 2015 P7 Jul-Nov (wet)?</t>
  </si>
  <si>
    <t>BURKINA - X</t>
  </si>
  <si>
    <t>BURKINA -24 - X</t>
  </si>
  <si>
    <t>M (2016/PLOT3)</t>
  </si>
  <si>
    <t xml:space="preserve">CFF1 </t>
  </si>
  <si>
    <t>CFF1 -X</t>
  </si>
  <si>
    <t>FRC 2016 plot 3</t>
  </si>
  <si>
    <t>mixture [AKA cream with brown-grey eye]</t>
  </si>
  <si>
    <t xml:space="preserve">CFF2 </t>
  </si>
  <si>
    <t>CFF2 -X</t>
  </si>
  <si>
    <t>unknown [AKA cream with grey eye]</t>
  </si>
  <si>
    <t xml:space="preserve">CFF3 </t>
  </si>
  <si>
    <t>CFF3 -X</t>
  </si>
  <si>
    <t>IRC-CRI [AKA zebra cream AKA cream with black splash]</t>
  </si>
  <si>
    <t>CIAROG-2</t>
  </si>
  <si>
    <t>UNSB26</t>
  </si>
  <si>
    <t>CIKIJING 1</t>
  </si>
  <si>
    <t>CIKIJING1</t>
  </si>
  <si>
    <t>UNSB27</t>
  </si>
  <si>
    <t>UBCJ1-1316</t>
  </si>
  <si>
    <t>CIKUR1.1</t>
  </si>
  <si>
    <t>UNSB28</t>
  </si>
  <si>
    <t>CIKUR2.1</t>
  </si>
  <si>
    <t>Cikur 2.1 - (1-101)</t>
  </si>
  <si>
    <t>CIKUR 2.3</t>
  </si>
  <si>
    <t>CIKUR2.3</t>
  </si>
  <si>
    <t>UBCK23-1314</t>
  </si>
  <si>
    <t>CIKUR2D(1)</t>
  </si>
  <si>
    <t>UNSB33</t>
  </si>
  <si>
    <t>CIKUR3.2</t>
  </si>
  <si>
    <t>UNSB31</t>
  </si>
  <si>
    <t xml:space="preserve">CIKUR 3.3 </t>
  </si>
  <si>
    <t>CIKUR3.3</t>
  </si>
  <si>
    <t>CIKUR 3.3 - X</t>
  </si>
  <si>
    <t>CREAM BLACK EYE</t>
  </si>
  <si>
    <t>CREAM WITH BLACK EYE (KM1)</t>
  </si>
  <si>
    <t>Tamale market</t>
  </si>
  <si>
    <t>CREAM BLACK EYE 14 - X</t>
  </si>
  <si>
    <t xml:space="preserve">CREAM WITH BLACK EYE -4 -X </t>
  </si>
  <si>
    <t>Cream with black eye -X</t>
  </si>
  <si>
    <t>CREAM WITH BLACK EYE -13</t>
  </si>
  <si>
    <t>CREAM WITH BLACK EYE -14</t>
  </si>
  <si>
    <t>CREAM WITH BLACK EYE -16</t>
  </si>
  <si>
    <t>CREAM WITH BLACK EYE -200</t>
  </si>
  <si>
    <t>CREAM WITH BLACK EYE -3</t>
  </si>
  <si>
    <t>CREAM BROWN WHITE EYE</t>
  </si>
  <si>
    <t>CREAM BROWN WHITE EYE - X</t>
  </si>
  <si>
    <t>CREAM BROWN WHITE EYE -3 - X</t>
  </si>
  <si>
    <t>But, multiple bags have the same label - i.e 6 bags -3 -8</t>
  </si>
  <si>
    <t>CREAM GREY EYE</t>
  </si>
  <si>
    <t>CREAM GREY EYE -49 - X</t>
  </si>
  <si>
    <t>CREAM WITH GREY EYE (KM9)</t>
  </si>
  <si>
    <t>KM9 - Kedah Multiplication/bulk</t>
  </si>
  <si>
    <t>Landrace</t>
  </si>
  <si>
    <t xml:space="preserve">CREAM LIGHT BROWN EYE </t>
  </si>
  <si>
    <t>CREAM LIGHT BROWN EYE (KM7)</t>
  </si>
  <si>
    <t>KM7 - Kedah Multiplication/bulk</t>
  </si>
  <si>
    <t>CREAM LIGHT BROWN EYE -26 - X</t>
  </si>
  <si>
    <t>CREAM WITH LIGHT BROWN EYE -X</t>
  </si>
  <si>
    <t>Cream with light brown eye -X</t>
  </si>
  <si>
    <t>CREAM WITH BROWN WHITE EYE</t>
  </si>
  <si>
    <t>CREAM WITH BROWN WHITE EYE-X</t>
  </si>
  <si>
    <t>Tamale Market</t>
  </si>
  <si>
    <t xml:space="preserve">Cream with black splash </t>
  </si>
  <si>
    <t>Cream with black splash -10 -40</t>
  </si>
  <si>
    <t>Cream with black splash -13</t>
  </si>
  <si>
    <t>Cream with black splash -13 -1</t>
  </si>
  <si>
    <t>CWBS 0782 etc</t>
  </si>
  <si>
    <t>CREAM WITH BLACK SPLASH?</t>
  </si>
  <si>
    <t>deep brown (Siise UNMC)</t>
  </si>
  <si>
    <t>dipC (Alex UoN)</t>
  </si>
  <si>
    <t>dipC (Siise UNMC)</t>
  </si>
  <si>
    <t>dipC -13-5 (UoN)</t>
  </si>
  <si>
    <t>DIPC (KM4)</t>
  </si>
  <si>
    <t>KM4 - Kedah Multiplication/bulk</t>
  </si>
  <si>
    <t>DIPC - X</t>
  </si>
  <si>
    <t>DIPC --16 -X</t>
  </si>
  <si>
    <t>DIP0769 etc</t>
  </si>
  <si>
    <t>DIPC?</t>
  </si>
  <si>
    <t>dodR (Siise UNMC)</t>
  </si>
  <si>
    <t>DODR</t>
  </si>
  <si>
    <t>DOD1156 etc</t>
  </si>
  <si>
    <t>DOTTED BROWN WITH BLACK EYE</t>
  </si>
  <si>
    <t>DOTTED BLACK BROWN -10  - X</t>
  </si>
  <si>
    <t>DOTTED BROWN WITH BLACK EYE -X</t>
  </si>
  <si>
    <t xml:space="preserve">DOTTED CREAM WITH RED EYE </t>
  </si>
  <si>
    <t>DOTTED CREAM WITH RED EYE -X</t>
  </si>
  <si>
    <t>EXSOKOTO</t>
  </si>
  <si>
    <t>KM3 EXSOKOTO</t>
  </si>
  <si>
    <t>Mukhtar?</t>
  </si>
  <si>
    <t>EXSOKOTO- X</t>
  </si>
  <si>
    <t>Exsokoto -107-X</t>
  </si>
  <si>
    <t>Exsokoto -122-X</t>
  </si>
  <si>
    <t>Exsokoto -127-X</t>
  </si>
  <si>
    <t>Exsokoto -156 -X</t>
  </si>
  <si>
    <t>Exsokoto -177-X</t>
  </si>
  <si>
    <t>Exsokoto -181-X</t>
  </si>
  <si>
    <t>Exsokoto -183-X</t>
  </si>
  <si>
    <t>bag 34, 38 used for 2018 density trial; WK use for resequencing</t>
  </si>
  <si>
    <t>Exsokoto -27-X</t>
  </si>
  <si>
    <t>Exsokoto -39-X</t>
  </si>
  <si>
    <t>Exsokoto -62 -X</t>
  </si>
  <si>
    <t>Exsokoto -85-X</t>
  </si>
  <si>
    <t>GETSO</t>
  </si>
  <si>
    <t>GETSO (KM12)</t>
  </si>
  <si>
    <t>KM12 - Kedah Multiplication/bulk</t>
  </si>
  <si>
    <t>getso (Siise UNMC)</t>
  </si>
  <si>
    <t>GETSO -5</t>
  </si>
  <si>
    <t>UoN 13?</t>
  </si>
  <si>
    <t>GETSO -5 -X</t>
  </si>
  <si>
    <t>GCL31105</t>
  </si>
  <si>
    <t>UNSB55</t>
  </si>
  <si>
    <t xml:space="preserve">GHC 36105 </t>
  </si>
  <si>
    <t>GHC 36105 -X</t>
  </si>
  <si>
    <t xml:space="preserve">GRESIK </t>
  </si>
  <si>
    <t>GRESIK -X</t>
  </si>
  <si>
    <t>UNSB19</t>
  </si>
  <si>
    <t>GOBRAS3.1(1)</t>
  </si>
  <si>
    <t>UNSB35</t>
  </si>
  <si>
    <t>GOBRAS4.2</t>
  </si>
  <si>
    <t>UNSB36</t>
  </si>
  <si>
    <t xml:space="preserve">IITA 686 </t>
  </si>
  <si>
    <t>IITA686</t>
  </si>
  <si>
    <t>IITA 686 -X</t>
  </si>
  <si>
    <t>IITA1182 etc</t>
  </si>
  <si>
    <t>IITA686 (Siise UNMC)</t>
  </si>
  <si>
    <t>IITA686 -13</t>
  </si>
  <si>
    <t>IITA686 -6</t>
  </si>
  <si>
    <t>IITA686 -13 -X</t>
  </si>
  <si>
    <t>IPBBAM1</t>
  </si>
  <si>
    <t>Bogor-Indonesia</t>
  </si>
  <si>
    <t>IPBBAM1-1289</t>
  </si>
  <si>
    <t>IPBBAM2</t>
  </si>
  <si>
    <t>IPBBAM3</t>
  </si>
  <si>
    <t>UNSB44</t>
  </si>
  <si>
    <t>IPBBAM3-1290</t>
  </si>
  <si>
    <t>IPBBAM4</t>
  </si>
  <si>
    <t>UNSB45</t>
  </si>
  <si>
    <t>IPBBAM4-1291</t>
  </si>
  <si>
    <t>IPBBAM5</t>
  </si>
  <si>
    <t>IPBBAM6</t>
  </si>
  <si>
    <t>IPB Bam6 -X</t>
  </si>
  <si>
    <t>IPBBAM7</t>
  </si>
  <si>
    <t>UNSB48</t>
  </si>
  <si>
    <t>IPBBAM7-1291</t>
  </si>
  <si>
    <t>IPBBAM8</t>
  </si>
  <si>
    <t>UNSB49</t>
  </si>
  <si>
    <t>IPBBAM9</t>
  </si>
  <si>
    <t>UNSB50</t>
  </si>
  <si>
    <t>IPBBAM10</t>
  </si>
  <si>
    <t xml:space="preserve">KAARO </t>
  </si>
  <si>
    <t>KAARO -X</t>
  </si>
  <si>
    <t>Kaaro -11 -X</t>
  </si>
  <si>
    <t>Kaaro -39-X</t>
  </si>
  <si>
    <t>Kaaro -4-X</t>
  </si>
  <si>
    <t>Kaaro -46-X</t>
  </si>
  <si>
    <t>Kaaro -48-X</t>
  </si>
  <si>
    <t>Kaaro -54 -X</t>
  </si>
  <si>
    <t>Kaaro -56-X</t>
  </si>
  <si>
    <t>Kaaro -66-X</t>
  </si>
  <si>
    <t>Kaaro -74-X</t>
  </si>
  <si>
    <t>Kaaro -76-X</t>
  </si>
  <si>
    <t xml:space="preserve">KANO1 </t>
  </si>
  <si>
    <t>KANO #P2014(2016)_S</t>
  </si>
  <si>
    <t>KANO+BURKINA #P2014 (2016)</t>
  </si>
  <si>
    <t>KANO1-X</t>
  </si>
  <si>
    <t>Kano 1 -X</t>
  </si>
  <si>
    <t>KANO1 (KM6)</t>
  </si>
  <si>
    <t>KM6 - Kedah Multiplication/bulk</t>
  </si>
  <si>
    <t xml:space="preserve">Landrace </t>
  </si>
  <si>
    <t>KANO1 -16 -X</t>
  </si>
  <si>
    <t>Kano 2</t>
  </si>
  <si>
    <t>Kano 2-X</t>
  </si>
  <si>
    <t>KANO2 -X</t>
  </si>
  <si>
    <t>KAZUMA</t>
  </si>
  <si>
    <t>KAZUMA -21</t>
  </si>
  <si>
    <t>M (2015/NURSERY)</t>
  </si>
  <si>
    <t>kazuma -X</t>
  </si>
  <si>
    <t>FRC 2015 Nursery</t>
  </si>
  <si>
    <t xml:space="preserve">LIGHT BROWN LIGHT BROWN EYE </t>
  </si>
  <si>
    <t>LIGHT BROWN LIGHT BROWN EYE (KM8)</t>
  </si>
  <si>
    <t>KM8 - Kedah Multiplication/bulk</t>
  </si>
  <si>
    <t>LIGHT BROWN LIGHT BROWN EYE -1</t>
  </si>
  <si>
    <t>LIGHT BROWN LIGHT BROWN EYE -5-X</t>
  </si>
  <si>
    <t>LIGHT BROWN LIGHT BROWN EYE -8-X</t>
  </si>
  <si>
    <t>LIGHT CREAM BLACK EYE</t>
  </si>
  <si>
    <t>LIGHT CREAM BLACK EYE (KM13)</t>
  </si>
  <si>
    <t>KM13 - Kedah Multiplication/bulk</t>
  </si>
  <si>
    <t>LIGHT CREAM BLACK EYE -3-X</t>
  </si>
  <si>
    <t>LIGHT CREAM WITH BLACK EYE -X</t>
  </si>
  <si>
    <t>lunT (Siise UNMC)</t>
  </si>
  <si>
    <t>LUNT</t>
  </si>
  <si>
    <t>LUNT -21 -10</t>
  </si>
  <si>
    <t>LUNT1154 etc</t>
  </si>
  <si>
    <t xml:space="preserve">MALAYSIA RED </t>
  </si>
  <si>
    <t>MALAYSIA RED -X</t>
  </si>
  <si>
    <t>Malaysian farmer red (Songkla?)</t>
  </si>
  <si>
    <t>Kedah</t>
  </si>
  <si>
    <t xml:space="preserve">MANA </t>
  </si>
  <si>
    <t>MANA -68</t>
  </si>
  <si>
    <t>MANA -68-X</t>
  </si>
  <si>
    <t>MANA -76-X</t>
  </si>
  <si>
    <t xml:space="preserve">MOTTLED BLACK </t>
  </si>
  <si>
    <t>mottled black (Siise UNMC)</t>
  </si>
  <si>
    <t>MOTTLED BLACK -X</t>
  </si>
  <si>
    <t>Mottled black -X</t>
  </si>
  <si>
    <t>MOTTLE BLACK -X</t>
  </si>
  <si>
    <t>MOTTLED BLACK -10-X</t>
  </si>
  <si>
    <t>MOTTLED CREAM</t>
  </si>
  <si>
    <t>MOTTLED CREAM -X</t>
  </si>
  <si>
    <t>MOTTLE SARI</t>
  </si>
  <si>
    <t>MOTTLE SARI -6 -X</t>
  </si>
  <si>
    <t>Mottled red?</t>
  </si>
  <si>
    <t>MOTTLED RED</t>
  </si>
  <si>
    <t>mottled red (Siise UNMC)</t>
  </si>
  <si>
    <t>MOTTLED RED -X</t>
  </si>
  <si>
    <t>Nav4</t>
  </si>
  <si>
    <t>nav4 (Siise UNMC)</t>
  </si>
  <si>
    <t>NAV4 -10</t>
  </si>
  <si>
    <t>NAV4 -16</t>
  </si>
  <si>
    <t>NAV4 -3</t>
  </si>
  <si>
    <t>NAV4 (KM11)</t>
  </si>
  <si>
    <t>KM11- Kedah Multiplication/bulk</t>
  </si>
  <si>
    <t>NAV4 -10 -X</t>
  </si>
  <si>
    <t>Nav4 - 130</t>
  </si>
  <si>
    <t>Nav4 #P2014(2016_s</t>
  </si>
  <si>
    <t>Nav4 -11 -47</t>
  </si>
  <si>
    <t>Nav4 -13 -13</t>
  </si>
  <si>
    <t>Nav4 -13 -3  -X</t>
  </si>
  <si>
    <t>Nav4 -15</t>
  </si>
  <si>
    <t>Nav4 -X</t>
  </si>
  <si>
    <t>NAV0983 etc</t>
  </si>
  <si>
    <t>NAV4-13-13</t>
  </si>
  <si>
    <t xml:space="preserve">RAJAP 2.1 </t>
  </si>
  <si>
    <t>UBRJ21-1317</t>
  </si>
  <si>
    <t>RAJAP3.2</t>
  </si>
  <si>
    <t>RED</t>
  </si>
  <si>
    <t>red (Siise UNMC)</t>
  </si>
  <si>
    <t>Red -X</t>
  </si>
  <si>
    <t>NAV-RED (JOE)?</t>
  </si>
  <si>
    <t>RED -X</t>
  </si>
  <si>
    <t>RED -11 -X</t>
  </si>
  <si>
    <t>S19 (Siise UNMC)</t>
  </si>
  <si>
    <t>S19 -3-13-5 (UoN)</t>
  </si>
  <si>
    <t>S19-3-1320</t>
  </si>
  <si>
    <t>SIK RED</t>
  </si>
  <si>
    <t>2015, from Kedah farmer</t>
  </si>
  <si>
    <t>Songkhla1</t>
  </si>
  <si>
    <t>SONG1-1294</t>
  </si>
  <si>
    <t>Songkhla 1/TVSU89? (UNSB23?)</t>
  </si>
  <si>
    <t>SONGKHLA1 -X</t>
  </si>
  <si>
    <t>Songkhla1 -X</t>
  </si>
  <si>
    <t>Songkhla1 -100 -X</t>
  </si>
  <si>
    <t>Songkhla1 -115-X</t>
  </si>
  <si>
    <t>Songkhla1 -15-X</t>
  </si>
  <si>
    <t>Songkhla1 -27-X</t>
  </si>
  <si>
    <t>Songkhla1 -38 -X</t>
  </si>
  <si>
    <t>Songkhla1 -49 -X</t>
  </si>
  <si>
    <t>Songkhla1 -51-X</t>
  </si>
  <si>
    <t>Songkhla1 -71-X</t>
  </si>
  <si>
    <t>Songkhla1 -72-X</t>
  </si>
  <si>
    <t>Songkhla1 -90-X</t>
  </si>
  <si>
    <t xml:space="preserve">STRIPE RED </t>
  </si>
  <si>
    <t>STRIPE RED -X</t>
  </si>
  <si>
    <t>SUKURAJA-1</t>
  </si>
  <si>
    <t>UNSB39</t>
  </si>
  <si>
    <t xml:space="preserve">SUKARAJA-2 </t>
  </si>
  <si>
    <t>SUKURAJA-2</t>
  </si>
  <si>
    <t>UBSJ2-1315</t>
  </si>
  <si>
    <t xml:space="preserve">SITURAJA 2 </t>
  </si>
  <si>
    <t>SITURAJA2</t>
  </si>
  <si>
    <t>UBSR2-1312</t>
  </si>
  <si>
    <t>tan</t>
  </si>
  <si>
    <t>tan (Siise UNMC)</t>
  </si>
  <si>
    <t xml:space="preserve">tan385 </t>
  </si>
  <si>
    <t>tan385 (Siise UNMC)</t>
  </si>
  <si>
    <t>Thai landrace -1-1</t>
  </si>
  <si>
    <t>Thai landrace -1-1 (UoN)</t>
  </si>
  <si>
    <t xml:space="preserve">thung yang dang </t>
  </si>
  <si>
    <t>thung yang dang (Prakit KU)</t>
  </si>
  <si>
    <t xml:space="preserve">tiga necuru </t>
  </si>
  <si>
    <t>tiga necuru (Siise UNMC)</t>
  </si>
  <si>
    <t>TL1-1-1319</t>
  </si>
  <si>
    <t>TOM</t>
  </si>
  <si>
    <t>TOM -X</t>
  </si>
  <si>
    <t>dotted brown with black eye ("TOM")</t>
  </si>
  <si>
    <t>TVSU</t>
  </si>
  <si>
    <t>TVSU738 (Prakit KU)</t>
  </si>
  <si>
    <t>TVSU89 (Prakit KU)</t>
  </si>
  <si>
    <t>TVSU1257-1311</t>
  </si>
  <si>
    <t>TVSU1257</t>
  </si>
  <si>
    <t>Nigeria</t>
  </si>
  <si>
    <t>TVSU1276-1309</t>
  </si>
  <si>
    <t>TVSU1276</t>
  </si>
  <si>
    <t>Central African Republic</t>
  </si>
  <si>
    <t>TVSU1374-1310</t>
  </si>
  <si>
    <t>TVSU1374</t>
  </si>
  <si>
    <t>TVSU139-1298</t>
  </si>
  <si>
    <t>TVSU139</t>
  </si>
  <si>
    <t>TVSU352-1299</t>
  </si>
  <si>
    <t>TVSU352</t>
  </si>
  <si>
    <t>TVSU369-1300</t>
  </si>
  <si>
    <t>TVSU369</t>
  </si>
  <si>
    <t>Tanzania</t>
  </si>
  <si>
    <t>TVSU447-1301</t>
  </si>
  <si>
    <t>TVSU447</t>
  </si>
  <si>
    <t>Cameroon</t>
  </si>
  <si>
    <t>TVSU484-1302</t>
  </si>
  <si>
    <t>TVSU484</t>
  </si>
  <si>
    <t>TVSU492-1303</t>
  </si>
  <si>
    <t>TVSU492</t>
  </si>
  <si>
    <t>TVSU506-1304</t>
  </si>
  <si>
    <t>TVSU506</t>
  </si>
  <si>
    <t>TVSU536-1306</t>
  </si>
  <si>
    <t>TVSU536</t>
  </si>
  <si>
    <t>TVSU575-1305</t>
  </si>
  <si>
    <t>TVSU575</t>
  </si>
  <si>
    <t>TVSU6-1296</t>
  </si>
  <si>
    <t>TVSU6</t>
  </si>
  <si>
    <t>TVSU757-1307</t>
  </si>
  <si>
    <t>TVSU757</t>
  </si>
  <si>
    <t>Zambia</t>
  </si>
  <si>
    <t>TVSU792-1308</t>
  </si>
  <si>
    <t>TVSU792</t>
  </si>
  <si>
    <t>Kenya</t>
  </si>
  <si>
    <t>TVSU89-1295</t>
  </si>
  <si>
    <t>Prakit, KU (Kasetsart Uni)</t>
  </si>
  <si>
    <t>TVSU9-1297</t>
  </si>
  <si>
    <t>TVSU9</t>
  </si>
  <si>
    <t>TVSU89 - X</t>
  </si>
  <si>
    <t>UNSB24</t>
  </si>
  <si>
    <t xml:space="preserve">URUG-1 </t>
  </si>
  <si>
    <t>UBU1-1293</t>
  </si>
  <si>
    <t>UNISWA RED</t>
  </si>
  <si>
    <t>UNSB22</t>
  </si>
  <si>
    <t>uniswa red (Siise UNMC)</t>
  </si>
  <si>
    <t>UNISWA RED -X</t>
  </si>
  <si>
    <t>UNISWA RED -3 -1</t>
  </si>
  <si>
    <t>UNISWA RED -4 -1</t>
  </si>
  <si>
    <t>UNISWA RED -7 -X</t>
  </si>
  <si>
    <t>UNISWA RED -8 -1</t>
  </si>
  <si>
    <t>UNISWA RED -10 -1</t>
  </si>
  <si>
    <t>UR178-1202 etc</t>
  </si>
  <si>
    <t>UR343-1230 etc</t>
  </si>
  <si>
    <t>UR43-1196 etc</t>
  </si>
  <si>
    <t>URA-1218 etc</t>
  </si>
  <si>
    <t>UNISWA RED RED</t>
  </si>
  <si>
    <t>URR0869 etc</t>
  </si>
  <si>
    <t>VSSSP</t>
  </si>
  <si>
    <t>VSSSP6-1287</t>
  </si>
  <si>
    <t>ZEBRA CREAM</t>
  </si>
  <si>
    <t>zebra cream (Siise UNMC)</t>
  </si>
  <si>
    <t>ZEBRA CREAM (KM10)</t>
  </si>
  <si>
    <t>KM10 - Kedah multiplication/bulk</t>
  </si>
  <si>
    <t>ZEBRA CREAM -8 -X</t>
  </si>
  <si>
    <t xml:space="preserve">CFF Material taken by Razlin for nutritional (destructive) anlaysis @SCU. All samples were ground to powder. </t>
  </si>
  <si>
    <t xml:space="preserve">Planting year/ seed batch </t>
  </si>
  <si>
    <t>G* E dataset; heritability</t>
  </si>
  <si>
    <t>IITA 686_CFF2016</t>
  </si>
  <si>
    <t>Not on Seed List</t>
  </si>
  <si>
    <t>Comment / Notes - from July 2018 (razlin's comments going though seed packets)</t>
  </si>
  <si>
    <t>S19-3_CFF</t>
  </si>
  <si>
    <t>G* E dataset</t>
  </si>
  <si>
    <t>DodR_CFF</t>
  </si>
  <si>
    <t>LunT_CFF</t>
  </si>
  <si>
    <t>Kaaro-x</t>
  </si>
  <si>
    <t>Kaaro4-3-X</t>
  </si>
  <si>
    <t>Kaaro-66-26-X</t>
  </si>
  <si>
    <t>Kaaro-74-13-X</t>
  </si>
  <si>
    <t>Ex-sokoto-27-X</t>
  </si>
  <si>
    <t>Ex-sokoto-27-24-X</t>
  </si>
  <si>
    <t>Songkhla-38-4-X</t>
  </si>
  <si>
    <t>Mottle Black_2015</t>
  </si>
  <si>
    <t>Mottle Black_2018</t>
  </si>
  <si>
    <t>BCL 33107-X</t>
  </si>
  <si>
    <t>BCL 33107-1-X</t>
  </si>
  <si>
    <t>BCL 33107-1-27-X</t>
  </si>
  <si>
    <t>GHC 36105-1-X</t>
  </si>
  <si>
    <t>GHC 36105-1-13-X</t>
  </si>
  <si>
    <t>BH16107-X</t>
  </si>
  <si>
    <t>BH16107-1-X</t>
  </si>
  <si>
    <t>BH16107-1-12-X</t>
  </si>
  <si>
    <t>IITA 686_CFF2017</t>
  </si>
  <si>
    <t>IITA 686_CFF2018</t>
  </si>
  <si>
    <t>Burkina_2015</t>
  </si>
  <si>
    <t>Burkina_2016</t>
  </si>
  <si>
    <t>Burkina_2018</t>
  </si>
  <si>
    <t>Bogor_2017</t>
  </si>
  <si>
    <t>DipC_CFF</t>
  </si>
  <si>
    <t>heritability</t>
  </si>
  <si>
    <t>Spacing 2016</t>
  </si>
  <si>
    <t>Spacing 2018</t>
  </si>
  <si>
    <t>Spacing 2017</t>
  </si>
  <si>
    <t>P7 2015</t>
  </si>
  <si>
    <t>Phase 1 2018</t>
  </si>
  <si>
    <t xml:space="preserve">Additional accessions sent by HuiHui May 2019 to SCU. </t>
  </si>
  <si>
    <t>Fungicide Trial 2017</t>
  </si>
  <si>
    <t>P7 2016</t>
  </si>
  <si>
    <t>Bogor_2016</t>
  </si>
  <si>
    <t>P1 2017</t>
  </si>
  <si>
    <t>?</t>
  </si>
  <si>
    <t xml:space="preserve">Data available on: protein, fat, fatty acid, starch, total carbs. Not considered part of razlin's "core BG" as dietary fibre was NOT measured </t>
  </si>
  <si>
    <t>Not on Seed List. Seeds taken from bag labelled "Uniswa-Red-Alex". Assumed original bag from UK</t>
  </si>
  <si>
    <t>Also used for</t>
  </si>
  <si>
    <t xml:space="preserve">Sent by Huihui May 2019. </t>
  </si>
  <si>
    <t>Sample prefix</t>
  </si>
  <si>
    <t>Sample ID</t>
  </si>
  <si>
    <t>Variety</t>
  </si>
  <si>
    <t>Location planted</t>
  </si>
  <si>
    <t xml:space="preserve">Set1 </t>
  </si>
  <si>
    <t>BG</t>
  </si>
  <si>
    <t>100SB16ANAM-C_CFF2016</t>
  </si>
  <si>
    <t>CFF</t>
  </si>
  <si>
    <t>Cikur 2.1_CFF_2016</t>
  </si>
  <si>
    <t>IPB Bam-6_CFF2016</t>
  </si>
  <si>
    <t>Zebra Cream-8</t>
  </si>
  <si>
    <t>AGG</t>
  </si>
  <si>
    <t>TVSu880</t>
  </si>
  <si>
    <t>TVSu879</t>
  </si>
  <si>
    <t>TVSu702</t>
  </si>
  <si>
    <t>TVSU 334</t>
  </si>
  <si>
    <t>TVSU 922</t>
  </si>
  <si>
    <t>TVSU 924</t>
  </si>
  <si>
    <t>TVSU 1231</t>
  </si>
  <si>
    <t>Gresik_CFF</t>
  </si>
  <si>
    <t>Gresik_UON</t>
  </si>
  <si>
    <t>Tiga Nicaru_UoN</t>
  </si>
  <si>
    <t>Ankpa4_UoN</t>
  </si>
  <si>
    <t>IITA-686_UoN</t>
  </si>
  <si>
    <t>DodR_UoN</t>
  </si>
  <si>
    <t>DipC_UoN</t>
  </si>
  <si>
    <t>S19-3_UoN</t>
  </si>
  <si>
    <t>Uniswa Red-R_UoN</t>
  </si>
  <si>
    <t>Uniswa Red-G_UoN</t>
  </si>
  <si>
    <t>Kano2_UoN</t>
  </si>
  <si>
    <t>Kano3_UoN</t>
  </si>
  <si>
    <t>Getso_UoN</t>
  </si>
  <si>
    <t xml:space="preserve">Gresik_LR_indonesia </t>
  </si>
  <si>
    <t>TVSu 323</t>
  </si>
  <si>
    <t>TVSU1023</t>
  </si>
  <si>
    <t>TVSU1033</t>
  </si>
  <si>
    <t>TVSU702-2018</t>
  </si>
  <si>
    <t>TVSU879-2018</t>
  </si>
  <si>
    <t>TVSU880-2018</t>
  </si>
  <si>
    <t>Also used for heritability</t>
  </si>
  <si>
    <t>Indonesia</t>
  </si>
  <si>
    <t>AUST</t>
  </si>
  <si>
    <t xml:space="preserve">Also used for G*E </t>
  </si>
  <si>
    <t>only for parent-offspring heritability</t>
  </si>
  <si>
    <t>Lipid</t>
  </si>
  <si>
    <t>Dietary fibre</t>
  </si>
  <si>
    <t>Starch</t>
  </si>
  <si>
    <t>Avail. Carbs</t>
  </si>
  <si>
    <t>Total carbs</t>
  </si>
  <si>
    <t xml:space="preserve">Fatty acids </t>
  </si>
  <si>
    <t>Protein</t>
  </si>
  <si>
    <t>Seed S</t>
  </si>
  <si>
    <t>Seed N</t>
  </si>
  <si>
    <t>þ</t>
  </si>
  <si>
    <t>Experimental data (done at SCU - all in triplicates except TDF)</t>
  </si>
  <si>
    <t>Seeds used for next planting season</t>
  </si>
  <si>
    <t>Phenotypic data: refer to 'excel' 'sheet' etc</t>
  </si>
  <si>
    <t>Not being used for next planting</t>
  </si>
  <si>
    <t>2018 P3</t>
  </si>
  <si>
    <t>2018 Phase 3 (P3)</t>
  </si>
  <si>
    <t>Spacing P1 2018</t>
  </si>
  <si>
    <t xml:space="preserve">2018 P1, P2, P3; 2019 </t>
  </si>
  <si>
    <t>2018 P1; 2019?</t>
  </si>
  <si>
    <t>Question: the samples contribute to which bulk used for planting 2018 vs 2019 - could be different bulk</t>
  </si>
  <si>
    <t xml:space="preserve">2018 P1 OR 2019 </t>
  </si>
  <si>
    <t>It seems like do not have M/2016 P4 as crop inventory only has P7 2016, says bulk and used in yield 2018?</t>
  </si>
  <si>
    <t>N/A</t>
  </si>
  <si>
    <t>2015 project using seeds from Sutton Bonington, UK (UNSB stock)</t>
  </si>
  <si>
    <t>v</t>
  </si>
  <si>
    <t>2016 P7 project at Kedah, same lines are used as 'ALL FRC 2016 (Jan-Apr)' plot 1 (P7 project)</t>
  </si>
  <si>
    <t>??</t>
  </si>
  <si>
    <t>2016 "dry season" including four plots: plot 1 (P7 project); plot 2 (high yielders line, parental lines, optional lines for multiplication); plot 3 (cream seeds); plot 4 (dark seeds)</t>
  </si>
  <si>
    <t>2015 P7 project; line (seeds from ''2014'' planting?) are planted during "wet season" (in 2015 July - Nov) at FRC and Kedah.</t>
  </si>
  <si>
    <t>Suspected is the fungicide trial conducted by FRC?</t>
  </si>
  <si>
    <t>2017 project; Multiplication (in addition to planting density trial</t>
  </si>
  <si>
    <t>Phase 3 2018</t>
  </si>
  <si>
    <t>indicates that the line has phenotypic data givren to RA by HH March2020</t>
  </si>
  <si>
    <t xml:space="preserve">Exsokoto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</si>
</sst>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Count&quot;\ 0&quot;/65&quot;"/>
    <numFmt numFmtId="165" formatCode="00"/>
    <numFmt numFmtId="166" formatCode="000"/>
    <numFmt numFmtId="167" formatCode="&quot;Ground whole seed,&quot;\ 0.00&quot;g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2"/>
      <color theme="1"/>
      <name val="Wingdings"/>
      <charset val="2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1">
    <xf numFmtId="0" fontId="0" fillId="0" borderId="0" xfId="0"/>
    <xf numFmtId="0" fontId="4" fillId="0" borderId="1" xfId="0" applyFont="1" applyBorder="1" applyAlignment="1">
      <alignment horizontal="left"/>
    </xf>
    <xf numFmtId="0" fontId="5" fillId="0" borderId="1" xfId="0" applyFont="1" applyBorder="1" applyAlignment="1"/>
    <xf numFmtId="0" fontId="0" fillId="0" borderId="0" xfId="0" applyAlignment="1">
      <alignment horizontal="left"/>
    </xf>
    <xf numFmtId="164" fontId="6" fillId="0" borderId="4" xfId="0" applyNumberFormat="1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7" fillId="0" borderId="4" xfId="0" applyNumberFormat="1" applyFont="1" applyFill="1" applyBorder="1"/>
    <xf numFmtId="0" fontId="0" fillId="0" borderId="4" xfId="0" applyFont="1" applyFill="1" applyBorder="1"/>
    <xf numFmtId="0" fontId="0" fillId="0" borderId="4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 indent="1"/>
    </xf>
    <xf numFmtId="0" fontId="0" fillId="0" borderId="0" xfId="0" applyFont="1" applyFill="1"/>
    <xf numFmtId="0" fontId="0" fillId="0" borderId="4" xfId="0" applyFill="1" applyBorder="1"/>
    <xf numFmtId="0" fontId="0" fillId="0" borderId="4" xfId="0" applyFill="1" applyBorder="1" applyAlignment="1">
      <alignment horizontal="left"/>
    </xf>
    <xf numFmtId="0" fontId="8" fillId="0" borderId="4" xfId="0" applyFont="1" applyFill="1" applyBorder="1" applyAlignment="1">
      <alignment horizontal="left" indent="1"/>
    </xf>
    <xf numFmtId="0" fontId="0" fillId="0" borderId="0" xfId="0" applyFill="1"/>
    <xf numFmtId="0" fontId="0" fillId="2" borderId="4" xfId="0" applyFont="1" applyFill="1" applyBorder="1" applyAlignment="1">
      <alignment horizontal="left" indent="1"/>
    </xf>
    <xf numFmtId="0" fontId="0" fillId="2" borderId="0" xfId="0" applyFill="1"/>
    <xf numFmtId="0" fontId="0" fillId="2" borderId="4" xfId="0" applyFont="1" applyFill="1" applyBorder="1" applyAlignment="1">
      <alignment horizontal="left" wrapText="1" indent="1"/>
    </xf>
    <xf numFmtId="0" fontId="0" fillId="0" borderId="4" xfId="0" applyFont="1" applyFill="1" applyBorder="1" applyAlignment="1">
      <alignment horizontal="left" wrapText="1"/>
    </xf>
    <xf numFmtId="0" fontId="6" fillId="0" borderId="0" xfId="0" applyFont="1"/>
    <xf numFmtId="0" fontId="0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left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6" borderId="0" xfId="0" applyFill="1"/>
    <xf numFmtId="0" fontId="0" fillId="0" borderId="4" xfId="0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center"/>
    </xf>
    <xf numFmtId="0" fontId="0" fillId="0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9" fillId="0" borderId="4" xfId="1" applyFont="1" applyFill="1" applyBorder="1"/>
    <xf numFmtId="0" fontId="9" fillId="0" borderId="4" xfId="1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6" borderId="4" xfId="0" applyFill="1" applyBorder="1"/>
    <xf numFmtId="0" fontId="0" fillId="0" borderId="4" xfId="0" applyBorder="1" applyAlignment="1"/>
    <xf numFmtId="0" fontId="0" fillId="0" borderId="4" xfId="1" applyFont="1" applyBorder="1"/>
    <xf numFmtId="0" fontId="3" fillId="6" borderId="4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left"/>
    </xf>
    <xf numFmtId="0" fontId="0" fillId="6" borderId="4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1" applyFont="1" applyBorder="1" applyAlignment="1">
      <alignment horizontal="center"/>
    </xf>
    <xf numFmtId="0" fontId="0" fillId="0" borderId="4" xfId="0" applyBorder="1" applyAlignment="1">
      <alignment vertical="center"/>
    </xf>
    <xf numFmtId="0" fontId="0" fillId="8" borderId="4" xfId="0" applyFill="1" applyBorder="1" applyAlignment="1">
      <alignment horizontal="center"/>
    </xf>
    <xf numFmtId="0" fontId="0" fillId="0" borderId="4" xfId="0" applyFont="1" applyBorder="1" applyAlignment="1">
      <alignment horizontal="left" vertical="center"/>
    </xf>
    <xf numFmtId="0" fontId="0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3" fillId="6" borderId="0" xfId="0" applyFont="1" applyFill="1"/>
    <xf numFmtId="0" fontId="1" fillId="0" borderId="4" xfId="1" applyFont="1" applyBorder="1"/>
    <xf numFmtId="0" fontId="0" fillId="0" borderId="0" xfId="0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13" fillId="0" borderId="0" xfId="0" applyFont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6" fillId="0" borderId="0" xfId="0" applyFont="1" applyFill="1" applyBorder="1"/>
    <xf numFmtId="0" fontId="0" fillId="0" borderId="0" xfId="0" applyFont="1" applyFill="1" applyBorder="1" applyAlignment="1">
      <alignment horizontal="left" inden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13" fillId="0" borderId="4" xfId="0" applyFont="1" applyBorder="1" applyAlignment="1">
      <alignment horizontal="left" vertical="center"/>
    </xf>
    <xf numFmtId="0" fontId="0" fillId="0" borderId="4" xfId="0" applyFont="1" applyBorder="1" applyAlignment="1">
      <alignment horizontal="left" indent="1"/>
    </xf>
    <xf numFmtId="0" fontId="13" fillId="0" borderId="4" xfId="0" applyFont="1" applyBorder="1" applyAlignment="1">
      <alignment vertical="center"/>
    </xf>
    <xf numFmtId="0" fontId="13" fillId="0" borderId="4" xfId="0" applyFont="1" applyFill="1" applyBorder="1" applyAlignment="1">
      <alignment vertical="center"/>
    </xf>
    <xf numFmtId="0" fontId="13" fillId="0" borderId="4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vertical="top"/>
    </xf>
    <xf numFmtId="0" fontId="0" fillId="0" borderId="4" xfId="0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2" borderId="4" xfId="0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7" fillId="0" borderId="4" xfId="0" applyFont="1" applyFill="1" applyBorder="1"/>
    <xf numFmtId="0" fontId="7" fillId="0" borderId="4" xfId="0" applyFont="1" applyFill="1" applyBorder="1" applyAlignment="1">
      <alignment vertical="top"/>
    </xf>
    <xf numFmtId="0" fontId="7" fillId="0" borderId="0" xfId="0" applyFont="1"/>
    <xf numFmtId="0" fontId="7" fillId="0" borderId="4" xfId="0" applyFont="1" applyBorder="1" applyAlignment="1">
      <alignment horizontal="left" vertical="top" wrapText="1"/>
    </xf>
    <xf numFmtId="165" fontId="7" fillId="0" borderId="4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left"/>
    </xf>
    <xf numFmtId="166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166" fontId="7" fillId="0" borderId="4" xfId="0" applyNumberFormat="1" applyFont="1" applyBorder="1" applyAlignment="1">
      <alignment horizontal="left" vertical="top"/>
    </xf>
    <xf numFmtId="0" fontId="7" fillId="0" borderId="4" xfId="0" applyFont="1" applyFill="1" applyBorder="1" applyAlignment="1">
      <alignment horizontal="left" wrapText="1"/>
    </xf>
    <xf numFmtId="0" fontId="7" fillId="9" borderId="4" xfId="0" applyFont="1" applyFill="1" applyBorder="1" applyAlignment="1">
      <alignment horizontal="left"/>
    </xf>
    <xf numFmtId="166" fontId="7" fillId="9" borderId="4" xfId="0" applyNumberFormat="1" applyFont="1" applyFill="1" applyBorder="1" applyAlignment="1">
      <alignment horizontal="left"/>
    </xf>
    <xf numFmtId="0" fontId="7" fillId="9" borderId="4" xfId="0" applyFont="1" applyFill="1" applyBorder="1" applyAlignment="1">
      <alignment horizontal="left" wrapText="1"/>
    </xf>
    <xf numFmtId="0" fontId="7" fillId="6" borderId="4" xfId="0" applyFont="1" applyFill="1" applyBorder="1" applyAlignment="1">
      <alignment horizontal="left"/>
    </xf>
    <xf numFmtId="0" fontId="7" fillId="0" borderId="4" xfId="0" applyFont="1" applyBorder="1" applyAlignment="1">
      <alignment horizontal="center"/>
    </xf>
    <xf numFmtId="166" fontId="7" fillId="0" borderId="4" xfId="0" applyNumberFormat="1" applyFont="1" applyFill="1" applyBorder="1" applyAlignment="1">
      <alignment horizontal="left"/>
    </xf>
    <xf numFmtId="165" fontId="7" fillId="0" borderId="4" xfId="0" applyNumberFormat="1" applyFont="1" applyBorder="1" applyAlignment="1">
      <alignment horizontal="left"/>
    </xf>
    <xf numFmtId="167" fontId="7" fillId="0" borderId="4" xfId="0" applyNumberFormat="1" applyFont="1" applyFill="1" applyBorder="1" applyAlignment="1">
      <alignment horizontal="left"/>
    </xf>
    <xf numFmtId="0" fontId="0" fillId="6" borderId="4" xfId="0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/>
    </xf>
    <xf numFmtId="0" fontId="0" fillId="0" borderId="0" xfId="0" applyFill="1" applyAlignment="1">
      <alignment vertical="top" wrapText="1"/>
    </xf>
    <xf numFmtId="0" fontId="2" fillId="0" borderId="0" xfId="0" applyFont="1" applyFill="1" applyAlignment="1">
      <alignment horizontal="left"/>
    </xf>
    <xf numFmtId="0" fontId="0" fillId="0" borderId="4" xfId="0" applyBorder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0" fillId="0" borderId="0" xfId="0" applyAlignment="1">
      <alignment wrapText="1"/>
    </xf>
    <xf numFmtId="0" fontId="2" fillId="6" borderId="0" xfId="0" applyFont="1" applyFill="1"/>
    <xf numFmtId="0" fontId="13" fillId="6" borderId="4" xfId="0" applyFont="1" applyFill="1" applyBorder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13" fillId="10" borderId="4" xfId="0" applyFont="1" applyFill="1" applyBorder="1" applyAlignment="1">
      <alignment horizontal="left" vertical="center"/>
    </xf>
    <xf numFmtId="0" fontId="13" fillId="10" borderId="0" xfId="0" applyFont="1" applyFill="1" applyAlignment="1">
      <alignment horizontal="center" vertical="center"/>
    </xf>
    <xf numFmtId="0" fontId="0" fillId="10" borderId="0" xfId="0" applyFill="1"/>
    <xf numFmtId="0" fontId="13" fillId="6" borderId="4" xfId="0" applyFont="1" applyFill="1" applyBorder="1" applyAlignment="1">
      <alignment vertical="center"/>
    </xf>
    <xf numFmtId="0" fontId="0" fillId="6" borderId="4" xfId="0" applyFont="1" applyFill="1" applyBorder="1"/>
    <xf numFmtId="0" fontId="3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2">
    <cellStyle name="Normal" xfId="0" builtinId="0"/>
    <cellStyle name="Normal 2" xfId="1"/>
  </cellStyles>
  <dxfs count="198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I%20HUI/OneDrive%20-%20University%20of%20Nottingham%20Malaysia%20Campus/CFF/Seed%20germplasm/BG%20seed%20germplasm_2018_za%20(not%20online%20database)%20-%202706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menclature"/>
      <sheetName val="List of experiment"/>
      <sheetName val="2015 UNSB"/>
      <sheetName val="Seed germplasm"/>
      <sheetName val="Seed summary - June 2018"/>
      <sheetName val="Seed summary-pop June 2018"/>
      <sheetName val="Kumbirai 2018"/>
      <sheetName val="UNMC seed-May 2018"/>
      <sheetName val="Re-seq seeds"/>
      <sheetName val="FRC seed "/>
      <sheetName val="Core parental (13)"/>
      <sheetName val="Association panel"/>
      <sheetName val="2015"/>
      <sheetName val="2016"/>
      <sheetName val="2017"/>
      <sheetName val="NTTS"/>
      <sheetName val="Seed planting pedigre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F104"/>
  <sheetViews>
    <sheetView tabSelected="1" topLeftCell="A4" zoomScale="90" zoomScaleNormal="90" workbookViewId="0">
      <selection activeCell="F37" sqref="F37"/>
    </sheetView>
  </sheetViews>
  <sheetFormatPr defaultRowHeight="15.75" x14ac:dyDescent="0.25"/>
  <cols>
    <col min="1" max="1" width="4.28515625" style="22" customWidth="1"/>
    <col min="2" max="2" width="23.85546875" customWidth="1"/>
    <col min="3" max="3" width="16.42578125" style="3" customWidth="1"/>
    <col min="4" max="4" width="19.28515625" style="3" customWidth="1"/>
    <col min="5" max="5" width="16.42578125" style="3" customWidth="1"/>
    <col min="6" max="6" width="136" style="23" customWidth="1"/>
    <col min="7" max="7" width="42.28515625" style="17" customWidth="1"/>
    <col min="8" max="8" width="23.140625" style="17" customWidth="1"/>
    <col min="9" max="9" width="89.5703125" style="17" bestFit="1" customWidth="1"/>
    <col min="10" max="13" width="9.140625" style="17"/>
  </cols>
  <sheetData>
    <row r="1" spans="1:32" ht="29.25" customHeight="1" x14ac:dyDescent="0.55000000000000004">
      <c r="A1" s="1" t="s">
        <v>591</v>
      </c>
      <c r="B1" s="2"/>
      <c r="F1" s="2"/>
    </row>
    <row r="2" spans="1:32" s="8" customFormat="1" ht="38.25" customHeight="1" x14ac:dyDescent="0.25">
      <c r="A2" s="4"/>
      <c r="B2" s="5" t="s">
        <v>0</v>
      </c>
      <c r="C2" s="6" t="s">
        <v>1</v>
      </c>
      <c r="D2" s="6" t="s">
        <v>592</v>
      </c>
      <c r="E2" s="6" t="s">
        <v>639</v>
      </c>
      <c r="F2" s="7" t="s">
        <v>596</v>
      </c>
      <c r="G2" s="118" t="s">
        <v>696</v>
      </c>
      <c r="H2" s="118" t="s">
        <v>697</v>
      </c>
      <c r="I2" s="96" t="s">
        <v>139</v>
      </c>
      <c r="J2" s="96"/>
      <c r="K2" s="96"/>
      <c r="L2" s="96"/>
      <c r="M2" s="96"/>
    </row>
    <row r="3" spans="1:32" s="13" customFormat="1" x14ac:dyDescent="0.25">
      <c r="A3" s="9">
        <v>1</v>
      </c>
      <c r="B3" s="10" t="s">
        <v>2</v>
      </c>
      <c r="C3" s="11" t="s">
        <v>3</v>
      </c>
      <c r="D3" s="35" t="s">
        <v>152</v>
      </c>
      <c r="E3" s="11"/>
      <c r="F3" s="12"/>
      <c r="G3" s="119" t="s">
        <v>705</v>
      </c>
      <c r="I3" s="13" t="s">
        <v>704</v>
      </c>
    </row>
    <row r="4" spans="1:32" s="13" customFormat="1" x14ac:dyDescent="0.25">
      <c r="A4" s="9">
        <v>2</v>
      </c>
      <c r="B4" s="10" t="s">
        <v>4</v>
      </c>
      <c r="C4" s="11" t="s">
        <v>5</v>
      </c>
      <c r="D4" s="37">
        <v>2015</v>
      </c>
      <c r="E4" s="31"/>
      <c r="F4" s="10"/>
      <c r="G4" s="13" t="s">
        <v>700</v>
      </c>
    </row>
    <row r="5" spans="1:32" s="13" customFormat="1" x14ac:dyDescent="0.25">
      <c r="A5" s="9">
        <v>3</v>
      </c>
      <c r="B5" s="10" t="s">
        <v>6</v>
      </c>
      <c r="C5" s="11" t="s">
        <v>7</v>
      </c>
      <c r="D5" s="37">
        <v>2015</v>
      </c>
      <c r="E5" s="31"/>
      <c r="F5" s="12"/>
      <c r="G5" s="13" t="s">
        <v>698</v>
      </c>
    </row>
    <row r="6" spans="1:32" s="17" customFormat="1" x14ac:dyDescent="0.25">
      <c r="A6" s="9">
        <v>4</v>
      </c>
      <c r="B6" s="50" t="s">
        <v>8</v>
      </c>
      <c r="C6" s="15" t="s">
        <v>9</v>
      </c>
      <c r="D6" s="35" t="s">
        <v>155</v>
      </c>
      <c r="E6" s="25"/>
      <c r="F6" s="16"/>
      <c r="G6" s="13" t="s">
        <v>702</v>
      </c>
    </row>
    <row r="7" spans="1:32" s="17" customFormat="1" x14ac:dyDescent="0.25">
      <c r="A7" s="9">
        <v>5</v>
      </c>
      <c r="B7" s="14" t="s">
        <v>10</v>
      </c>
      <c r="C7" s="15" t="s">
        <v>11</v>
      </c>
      <c r="D7" s="37">
        <v>2015</v>
      </c>
      <c r="E7" s="31"/>
      <c r="F7" s="12"/>
      <c r="G7" s="13" t="s">
        <v>698</v>
      </c>
    </row>
    <row r="8" spans="1:32" s="17" customFormat="1" x14ac:dyDescent="0.25">
      <c r="A8" s="9">
        <v>6</v>
      </c>
      <c r="B8" s="14" t="s">
        <v>12</v>
      </c>
      <c r="C8" s="15" t="s">
        <v>13</v>
      </c>
      <c r="D8" s="37">
        <v>2015</v>
      </c>
      <c r="E8" s="15"/>
      <c r="F8" s="12"/>
      <c r="G8" s="13" t="s">
        <v>698</v>
      </c>
    </row>
    <row r="9" spans="1:32" s="17" customFormat="1" x14ac:dyDescent="0.25">
      <c r="A9" s="9">
        <v>7</v>
      </c>
      <c r="B9" s="14" t="s">
        <v>14</v>
      </c>
      <c r="C9" s="15" t="s">
        <v>15</v>
      </c>
      <c r="D9" s="37">
        <v>2015</v>
      </c>
      <c r="E9" s="15"/>
      <c r="F9" s="12"/>
      <c r="G9" s="13" t="s">
        <v>698</v>
      </c>
    </row>
    <row r="10" spans="1:32" s="17" customFormat="1" x14ac:dyDescent="0.25">
      <c r="A10" s="9">
        <v>8</v>
      </c>
      <c r="B10" s="14" t="s">
        <v>16</v>
      </c>
      <c r="C10" s="15" t="s">
        <v>17</v>
      </c>
      <c r="D10" s="37">
        <v>2015</v>
      </c>
      <c r="E10" s="15"/>
      <c r="F10" s="12"/>
      <c r="G10" s="13" t="s">
        <v>698</v>
      </c>
    </row>
    <row r="11" spans="1:32" s="17" customFormat="1" x14ac:dyDescent="0.25">
      <c r="A11" s="9">
        <v>9</v>
      </c>
      <c r="B11" s="14" t="s">
        <v>18</v>
      </c>
      <c r="C11" s="15" t="s">
        <v>19</v>
      </c>
      <c r="D11" s="15" t="s">
        <v>635</v>
      </c>
      <c r="F11" s="12"/>
      <c r="G11" s="13" t="s">
        <v>698</v>
      </c>
    </row>
    <row r="12" spans="1:32" s="17" customFormat="1" x14ac:dyDescent="0.25">
      <c r="A12" s="9">
        <v>10</v>
      </c>
      <c r="B12" s="14" t="s">
        <v>20</v>
      </c>
      <c r="C12" s="15" t="s">
        <v>21</v>
      </c>
      <c r="D12" s="37">
        <v>2015</v>
      </c>
      <c r="E12" s="15"/>
      <c r="F12" s="12"/>
      <c r="G12" s="13" t="s">
        <v>698</v>
      </c>
    </row>
    <row r="13" spans="1:32" s="17" customFormat="1" x14ac:dyDescent="0.25">
      <c r="A13" s="9">
        <v>11</v>
      </c>
      <c r="B13" s="14" t="s">
        <v>22</v>
      </c>
      <c r="C13" s="15" t="s">
        <v>23</v>
      </c>
      <c r="D13" s="37">
        <v>2015</v>
      </c>
      <c r="E13" s="15"/>
      <c r="F13" s="12"/>
      <c r="G13" s="13" t="s">
        <v>698</v>
      </c>
    </row>
    <row r="14" spans="1:32" s="17" customFormat="1" x14ac:dyDescent="0.25">
      <c r="A14" s="9">
        <v>12</v>
      </c>
      <c r="B14" s="14" t="s">
        <v>24</v>
      </c>
      <c r="C14" s="15" t="s">
        <v>25</v>
      </c>
      <c r="D14" s="15" t="s">
        <v>635</v>
      </c>
      <c r="E14" s="15"/>
      <c r="F14" s="12"/>
      <c r="G14" s="13" t="s">
        <v>701</v>
      </c>
    </row>
    <row r="15" spans="1:32" s="17" customFormat="1" x14ac:dyDescent="0.25">
      <c r="A15" s="9">
        <v>13</v>
      </c>
      <c r="B15" s="14" t="s">
        <v>26</v>
      </c>
      <c r="C15" s="15" t="s">
        <v>27</v>
      </c>
      <c r="D15" s="15" t="s">
        <v>635</v>
      </c>
      <c r="E15" s="15"/>
      <c r="F15" s="12"/>
      <c r="G15" s="13" t="s">
        <v>701</v>
      </c>
    </row>
    <row r="16" spans="1:32" s="19" customFormat="1" x14ac:dyDescent="0.25">
      <c r="A16" s="9">
        <v>14</v>
      </c>
      <c r="B16" s="14" t="s">
        <v>28</v>
      </c>
      <c r="C16" s="15" t="s">
        <v>29</v>
      </c>
      <c r="D16" s="15" t="s">
        <v>636</v>
      </c>
      <c r="E16" s="15"/>
      <c r="F16" s="18" t="s">
        <v>43</v>
      </c>
      <c r="G16" s="13" t="s">
        <v>698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spans="1:32" s="17" customFormat="1" x14ac:dyDescent="0.25">
      <c r="A17" s="9">
        <v>15</v>
      </c>
      <c r="B17" s="14" t="s">
        <v>30</v>
      </c>
      <c r="C17" s="15" t="s">
        <v>31</v>
      </c>
      <c r="D17" s="37">
        <v>2015</v>
      </c>
      <c r="E17" s="15"/>
      <c r="F17" s="12"/>
      <c r="G17" s="13" t="s">
        <v>699</v>
      </c>
    </row>
    <row r="18" spans="1:32" s="17" customFormat="1" x14ac:dyDescent="0.25">
      <c r="A18" s="9">
        <v>16</v>
      </c>
      <c r="B18" s="50" t="s">
        <v>32</v>
      </c>
      <c r="C18" s="15" t="s">
        <v>33</v>
      </c>
      <c r="D18" s="31" t="s">
        <v>155</v>
      </c>
      <c r="E18" s="15"/>
      <c r="F18" s="12"/>
      <c r="G18" s="13" t="s">
        <v>703</v>
      </c>
      <c r="I18" s="17" t="s">
        <v>706</v>
      </c>
    </row>
    <row r="19" spans="1:32" s="17" customFormat="1" x14ac:dyDescent="0.25">
      <c r="A19" s="9">
        <v>17</v>
      </c>
      <c r="B19" s="14" t="s">
        <v>34</v>
      </c>
      <c r="C19" s="15" t="s">
        <v>35</v>
      </c>
      <c r="D19" s="37">
        <v>2015</v>
      </c>
      <c r="E19" s="15"/>
      <c r="F19" s="12"/>
    </row>
    <row r="20" spans="1:32" s="17" customFormat="1" x14ac:dyDescent="0.25">
      <c r="A20" s="9">
        <v>18</v>
      </c>
      <c r="B20" s="14" t="s">
        <v>36</v>
      </c>
      <c r="C20" s="15" t="s">
        <v>37</v>
      </c>
      <c r="D20" s="37">
        <v>2015</v>
      </c>
      <c r="E20" s="15"/>
      <c r="F20" s="12"/>
    </row>
    <row r="21" spans="1:32" s="17" customFormat="1" x14ac:dyDescent="0.25">
      <c r="A21" s="9">
        <v>19</v>
      </c>
      <c r="B21" s="50" t="s">
        <v>38</v>
      </c>
      <c r="C21" s="15">
        <v>2016</v>
      </c>
      <c r="D21" s="15" t="s">
        <v>633</v>
      </c>
      <c r="E21" s="15"/>
      <c r="F21" s="12"/>
    </row>
    <row r="22" spans="1:32" s="17" customFormat="1" x14ac:dyDescent="0.25">
      <c r="A22" s="9">
        <v>20</v>
      </c>
      <c r="B22" s="50" t="s">
        <v>39</v>
      </c>
      <c r="C22" s="15">
        <v>2015</v>
      </c>
      <c r="D22" s="31" t="s">
        <v>218</v>
      </c>
      <c r="E22" s="15"/>
      <c r="F22" s="12"/>
    </row>
    <row r="23" spans="1:32" s="17" customFormat="1" x14ac:dyDescent="0.25">
      <c r="A23" s="9">
        <v>21</v>
      </c>
      <c r="B23" s="50" t="s">
        <v>40</v>
      </c>
      <c r="C23" s="15">
        <v>2015</v>
      </c>
      <c r="D23" s="31" t="s">
        <v>234</v>
      </c>
      <c r="E23" s="15"/>
      <c r="F23" s="12"/>
    </row>
    <row r="24" spans="1:32" s="19" customFormat="1" x14ac:dyDescent="0.25">
      <c r="A24" s="9">
        <v>22</v>
      </c>
      <c r="B24" s="14" t="s">
        <v>599</v>
      </c>
      <c r="C24" s="15" t="s">
        <v>42</v>
      </c>
      <c r="D24" s="37">
        <v>2015</v>
      </c>
      <c r="E24" s="15" t="s">
        <v>598</v>
      </c>
      <c r="F24" s="18" t="s">
        <v>43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  <row r="25" spans="1:32" s="17" customFormat="1" x14ac:dyDescent="0.25">
      <c r="A25" s="9">
        <v>23</v>
      </c>
      <c r="B25" s="50" t="s">
        <v>44</v>
      </c>
      <c r="C25" s="15">
        <v>2015</v>
      </c>
      <c r="D25" s="31" t="s">
        <v>218</v>
      </c>
      <c r="E25" s="15"/>
      <c r="F25" s="12"/>
    </row>
    <row r="26" spans="1:32" s="17" customFormat="1" x14ac:dyDescent="0.25">
      <c r="A26" s="9">
        <v>24</v>
      </c>
      <c r="B26" s="50" t="s">
        <v>718</v>
      </c>
      <c r="C26" s="15">
        <v>2016</v>
      </c>
      <c r="D26" s="31" t="s">
        <v>152</v>
      </c>
      <c r="E26" s="15"/>
      <c r="F26" s="10"/>
    </row>
    <row r="27" spans="1:32" s="17" customFormat="1" x14ac:dyDescent="0.25">
      <c r="A27" s="9">
        <v>25</v>
      </c>
      <c r="B27" s="50" t="s">
        <v>46</v>
      </c>
      <c r="C27" s="15">
        <v>2017</v>
      </c>
      <c r="D27" s="31" t="s">
        <v>204</v>
      </c>
      <c r="E27" s="15"/>
      <c r="F27" s="10"/>
    </row>
    <row r="28" spans="1:32" s="17" customFormat="1" x14ac:dyDescent="0.25">
      <c r="A28" s="9">
        <v>26</v>
      </c>
      <c r="B28" s="50" t="s">
        <v>47</v>
      </c>
      <c r="C28" s="15">
        <v>2017</v>
      </c>
      <c r="D28" s="31" t="s">
        <v>204</v>
      </c>
      <c r="E28" s="15"/>
      <c r="F28" s="12"/>
    </row>
    <row r="29" spans="1:32" s="17" customFormat="1" x14ac:dyDescent="0.25">
      <c r="A29" s="9">
        <v>27</v>
      </c>
      <c r="B29" s="50" t="s">
        <v>48</v>
      </c>
      <c r="C29" s="15">
        <v>2017</v>
      </c>
      <c r="D29" s="31" t="s">
        <v>204</v>
      </c>
      <c r="E29" s="15"/>
      <c r="F29" s="12"/>
    </row>
    <row r="30" spans="1:32" s="17" customFormat="1" x14ac:dyDescent="0.25">
      <c r="A30" s="9">
        <v>28</v>
      </c>
      <c r="B30" s="14" t="s">
        <v>49</v>
      </c>
      <c r="C30" s="15" t="s">
        <v>50</v>
      </c>
      <c r="D30" s="37">
        <v>2015</v>
      </c>
      <c r="E30" s="15"/>
      <c r="F30" s="12"/>
    </row>
    <row r="31" spans="1:32" s="17" customFormat="1" x14ac:dyDescent="0.25">
      <c r="A31" s="9">
        <v>29</v>
      </c>
      <c r="B31" s="14" t="s">
        <v>51</v>
      </c>
      <c r="C31" s="15" t="s">
        <v>52</v>
      </c>
      <c r="D31" s="37">
        <v>2015</v>
      </c>
      <c r="E31" s="15"/>
      <c r="F31" s="12"/>
    </row>
    <row r="32" spans="1:32" s="17" customFormat="1" x14ac:dyDescent="0.25">
      <c r="A32" s="9">
        <v>30</v>
      </c>
      <c r="B32" s="14" t="s">
        <v>53</v>
      </c>
      <c r="C32" s="15" t="s">
        <v>54</v>
      </c>
      <c r="D32" s="37">
        <v>2015</v>
      </c>
      <c r="E32" s="15"/>
      <c r="F32" s="12"/>
    </row>
    <row r="33" spans="1:7" s="17" customFormat="1" x14ac:dyDescent="0.25">
      <c r="A33" s="9">
        <v>31</v>
      </c>
      <c r="B33" s="14" t="s">
        <v>55</v>
      </c>
      <c r="C33" s="15" t="s">
        <v>56</v>
      </c>
      <c r="D33" s="37">
        <v>2015</v>
      </c>
      <c r="E33" s="15"/>
      <c r="F33" s="12"/>
    </row>
    <row r="34" spans="1:7" s="17" customFormat="1" x14ac:dyDescent="0.25">
      <c r="A34" s="9">
        <v>32</v>
      </c>
      <c r="B34" s="14" t="s">
        <v>57</v>
      </c>
      <c r="C34" s="15" t="s">
        <v>58</v>
      </c>
      <c r="D34" s="37">
        <v>2015</v>
      </c>
      <c r="E34" s="15"/>
      <c r="F34" s="12"/>
    </row>
    <row r="35" spans="1:7" s="17" customFormat="1" x14ac:dyDescent="0.25">
      <c r="A35" s="9">
        <v>33</v>
      </c>
      <c r="B35" s="50" t="s">
        <v>59</v>
      </c>
      <c r="C35" s="60" t="s">
        <v>60</v>
      </c>
      <c r="D35" s="37">
        <v>2015</v>
      </c>
      <c r="E35" s="15"/>
      <c r="F35" s="12"/>
    </row>
    <row r="36" spans="1:7" s="17" customFormat="1" x14ac:dyDescent="0.25">
      <c r="A36" s="9">
        <v>34</v>
      </c>
      <c r="B36" s="14" t="s">
        <v>61</v>
      </c>
      <c r="C36" s="15" t="s">
        <v>62</v>
      </c>
      <c r="D36" s="37">
        <v>2015</v>
      </c>
      <c r="E36" s="15"/>
      <c r="F36" s="12"/>
    </row>
    <row r="37" spans="1:7" s="17" customFormat="1" x14ac:dyDescent="0.25">
      <c r="A37" s="9">
        <v>35</v>
      </c>
      <c r="B37" s="14" t="s">
        <v>63</v>
      </c>
      <c r="C37" s="15" t="s">
        <v>64</v>
      </c>
      <c r="D37" s="37">
        <v>2015</v>
      </c>
      <c r="E37" s="15"/>
      <c r="F37" s="12"/>
    </row>
    <row r="38" spans="1:7" s="17" customFormat="1" x14ac:dyDescent="0.25">
      <c r="A38" s="9">
        <v>36</v>
      </c>
      <c r="B38" s="50" t="s">
        <v>594</v>
      </c>
      <c r="C38" s="15" t="s">
        <v>65</v>
      </c>
      <c r="D38" s="31" t="s">
        <v>155</v>
      </c>
      <c r="E38" s="15" t="s">
        <v>593</v>
      </c>
      <c r="F38" s="12"/>
    </row>
    <row r="39" spans="1:7" s="17" customFormat="1" x14ac:dyDescent="0.25">
      <c r="A39" s="9">
        <v>37</v>
      </c>
      <c r="B39" s="14" t="s">
        <v>66</v>
      </c>
      <c r="C39" s="15" t="s">
        <v>67</v>
      </c>
      <c r="D39" s="37">
        <v>2015</v>
      </c>
      <c r="E39" s="15"/>
      <c r="F39" s="12"/>
    </row>
    <row r="40" spans="1:7" s="17" customFormat="1" x14ac:dyDescent="0.25">
      <c r="A40" s="9">
        <v>38</v>
      </c>
      <c r="B40" s="14" t="s">
        <v>68</v>
      </c>
      <c r="C40" s="15" t="s">
        <v>69</v>
      </c>
      <c r="D40" s="37">
        <v>2015</v>
      </c>
      <c r="E40" s="15"/>
      <c r="F40" s="12"/>
    </row>
    <row r="41" spans="1:7" s="17" customFormat="1" x14ac:dyDescent="0.25">
      <c r="A41" s="9">
        <v>39</v>
      </c>
      <c r="B41" s="14" t="s">
        <v>70</v>
      </c>
      <c r="C41" s="15" t="s">
        <v>71</v>
      </c>
      <c r="D41" s="37">
        <v>2015</v>
      </c>
      <c r="E41" s="15"/>
      <c r="F41" s="12"/>
    </row>
    <row r="42" spans="1:7" s="17" customFormat="1" x14ac:dyDescent="0.25">
      <c r="A42" s="9">
        <v>40</v>
      </c>
      <c r="B42" s="50" t="s">
        <v>72</v>
      </c>
      <c r="C42" s="11" t="s">
        <v>73</v>
      </c>
      <c r="D42" s="31" t="s">
        <v>155</v>
      </c>
      <c r="E42" s="11"/>
      <c r="F42" s="12"/>
    </row>
    <row r="43" spans="1:7" s="17" customFormat="1" x14ac:dyDescent="0.25">
      <c r="A43" s="9">
        <v>41</v>
      </c>
      <c r="B43" s="14" t="s">
        <v>74</v>
      </c>
      <c r="C43" s="11" t="s">
        <v>75</v>
      </c>
      <c r="D43" s="37">
        <v>2015</v>
      </c>
      <c r="E43" s="11"/>
      <c r="F43" s="12"/>
    </row>
    <row r="44" spans="1:7" s="17" customFormat="1" x14ac:dyDescent="0.25">
      <c r="A44" s="9">
        <v>42</v>
      </c>
      <c r="B44" s="50" t="s">
        <v>76</v>
      </c>
      <c r="C44" s="15"/>
      <c r="D44" s="31" t="s">
        <v>204</v>
      </c>
      <c r="E44" s="15" t="s">
        <v>625</v>
      </c>
      <c r="F44" s="12"/>
    </row>
    <row r="45" spans="1:7" s="17" customFormat="1" x14ac:dyDescent="0.25">
      <c r="A45" s="9">
        <v>43</v>
      </c>
      <c r="B45" s="50" t="s">
        <v>77</v>
      </c>
      <c r="C45" s="15"/>
      <c r="D45" s="31" t="s">
        <v>204</v>
      </c>
      <c r="E45" s="15" t="s">
        <v>625</v>
      </c>
      <c r="F45" s="12"/>
    </row>
    <row r="46" spans="1:7" s="17" customFormat="1" x14ac:dyDescent="0.25">
      <c r="A46" s="9">
        <v>44</v>
      </c>
      <c r="B46" s="50" t="s">
        <v>78</v>
      </c>
      <c r="C46" s="15"/>
      <c r="D46" s="31" t="s">
        <v>204</v>
      </c>
      <c r="E46" s="15" t="s">
        <v>625</v>
      </c>
      <c r="F46" s="12"/>
    </row>
    <row r="47" spans="1:7" s="17" customFormat="1" x14ac:dyDescent="0.25">
      <c r="A47" s="9">
        <v>45</v>
      </c>
      <c r="B47" s="14" t="s">
        <v>79</v>
      </c>
      <c r="C47" s="15">
        <v>2016</v>
      </c>
      <c r="D47" s="31" t="s">
        <v>152</v>
      </c>
      <c r="E47" s="15"/>
      <c r="F47" s="18" t="s">
        <v>595</v>
      </c>
    </row>
    <row r="48" spans="1:7" s="17" customFormat="1" ht="23.25" customHeight="1" x14ac:dyDescent="0.25">
      <c r="A48" s="9">
        <v>46</v>
      </c>
      <c r="B48" s="14" t="s">
        <v>80</v>
      </c>
      <c r="C48" s="15">
        <v>2017</v>
      </c>
      <c r="D48" s="31" t="s">
        <v>164</v>
      </c>
      <c r="E48" s="15"/>
      <c r="F48" s="20" t="s">
        <v>81</v>
      </c>
      <c r="G48" s="17" t="s">
        <v>698</v>
      </c>
    </row>
    <row r="49" spans="1:6" s="17" customFormat="1" x14ac:dyDescent="0.25">
      <c r="A49" s="9">
        <v>47</v>
      </c>
      <c r="B49" s="14" t="s">
        <v>597</v>
      </c>
      <c r="C49" s="15" t="s">
        <v>83</v>
      </c>
      <c r="D49" s="31" t="s">
        <v>164</v>
      </c>
      <c r="E49" s="15" t="s">
        <v>598</v>
      </c>
      <c r="F49" s="12"/>
    </row>
    <row r="50" spans="1:6" s="17" customFormat="1" x14ac:dyDescent="0.25">
      <c r="A50" s="9">
        <v>48</v>
      </c>
      <c r="B50" s="50" t="s">
        <v>84</v>
      </c>
      <c r="C50" s="15" t="s">
        <v>85</v>
      </c>
      <c r="D50" s="31" t="s">
        <v>155</v>
      </c>
      <c r="E50" s="15"/>
      <c r="F50" s="12"/>
    </row>
    <row r="51" spans="1:6" s="17" customFormat="1" x14ac:dyDescent="0.25">
      <c r="A51" s="9">
        <v>49</v>
      </c>
      <c r="B51" s="50" t="s">
        <v>86</v>
      </c>
      <c r="C51" s="15" t="s">
        <v>85</v>
      </c>
      <c r="D51" s="31" t="s">
        <v>204</v>
      </c>
      <c r="E51" s="15"/>
      <c r="F51" s="12"/>
    </row>
    <row r="52" spans="1:6" s="17" customFormat="1" x14ac:dyDescent="0.25">
      <c r="A52" s="9">
        <v>50</v>
      </c>
      <c r="B52" s="50" t="s">
        <v>87</v>
      </c>
      <c r="C52" s="15" t="s">
        <v>85</v>
      </c>
      <c r="D52" s="31" t="s">
        <v>204</v>
      </c>
      <c r="E52" s="15"/>
      <c r="F52" s="12"/>
    </row>
    <row r="53" spans="1:6" s="17" customFormat="1" x14ac:dyDescent="0.25">
      <c r="A53" s="9">
        <v>51</v>
      </c>
      <c r="B53" s="50" t="s">
        <v>88</v>
      </c>
      <c r="C53" s="15" t="s">
        <v>85</v>
      </c>
      <c r="D53" s="31" t="s">
        <v>204</v>
      </c>
      <c r="E53" s="15"/>
      <c r="F53" s="12"/>
    </row>
    <row r="54" spans="1:6" s="17" customFormat="1" x14ac:dyDescent="0.25">
      <c r="A54" s="9">
        <v>52</v>
      </c>
      <c r="B54" s="14" t="s">
        <v>89</v>
      </c>
      <c r="C54" s="15" t="s">
        <v>90</v>
      </c>
      <c r="D54" s="37">
        <v>2015</v>
      </c>
      <c r="E54" s="15"/>
      <c r="F54" s="12"/>
    </row>
    <row r="55" spans="1:6" s="17" customFormat="1" x14ac:dyDescent="0.25">
      <c r="A55" s="9">
        <v>53</v>
      </c>
      <c r="B55" s="14" t="s">
        <v>91</v>
      </c>
      <c r="C55" s="15" t="s">
        <v>92</v>
      </c>
      <c r="D55" s="31" t="s">
        <v>149</v>
      </c>
      <c r="E55" s="15"/>
      <c r="F55" s="12"/>
    </row>
    <row r="56" spans="1:6" s="17" customFormat="1" x14ac:dyDescent="0.25">
      <c r="A56" s="9">
        <v>54</v>
      </c>
      <c r="B56" s="14" t="s">
        <v>93</v>
      </c>
      <c r="C56" s="15" t="s">
        <v>92</v>
      </c>
      <c r="D56" s="31" t="s">
        <v>218</v>
      </c>
      <c r="E56" s="15"/>
      <c r="F56" s="12"/>
    </row>
    <row r="57" spans="1:6" s="17" customFormat="1" x14ac:dyDescent="0.25">
      <c r="A57" s="9">
        <v>55</v>
      </c>
      <c r="B57" s="14" t="s">
        <v>94</v>
      </c>
      <c r="C57" s="15" t="s">
        <v>95</v>
      </c>
      <c r="D57" s="31" t="s">
        <v>164</v>
      </c>
      <c r="E57" s="15" t="s">
        <v>598</v>
      </c>
      <c r="F57" s="12"/>
    </row>
    <row r="58" spans="1:6" s="17" customFormat="1" x14ac:dyDescent="0.25">
      <c r="A58" s="9">
        <v>56</v>
      </c>
      <c r="B58" s="14" t="s">
        <v>96</v>
      </c>
      <c r="C58" s="15" t="s">
        <v>97</v>
      </c>
      <c r="D58" s="37">
        <v>2015</v>
      </c>
      <c r="E58" s="15"/>
      <c r="F58" s="12"/>
    </row>
    <row r="59" spans="1:6" s="17" customFormat="1" x14ac:dyDescent="0.25">
      <c r="A59" s="9">
        <v>57</v>
      </c>
      <c r="B59" s="50" t="s">
        <v>98</v>
      </c>
      <c r="C59" s="15"/>
      <c r="D59" s="31" t="s">
        <v>152</v>
      </c>
      <c r="E59" s="15"/>
      <c r="F59" s="12"/>
    </row>
    <row r="60" spans="1:6" s="17" customFormat="1" x14ac:dyDescent="0.25">
      <c r="A60" s="9">
        <v>58</v>
      </c>
      <c r="B60" s="14" t="s">
        <v>99</v>
      </c>
      <c r="C60" s="15"/>
      <c r="D60" s="31" t="s">
        <v>152</v>
      </c>
      <c r="E60" s="15"/>
      <c r="F60" s="12"/>
    </row>
    <row r="61" spans="1:6" s="17" customFormat="1" x14ac:dyDescent="0.25">
      <c r="A61" s="97">
        <v>59</v>
      </c>
      <c r="B61" s="14" t="s">
        <v>100</v>
      </c>
      <c r="C61" s="15" t="s">
        <v>101</v>
      </c>
      <c r="D61" s="37">
        <v>2015</v>
      </c>
      <c r="E61" s="31"/>
      <c r="F61" s="12"/>
    </row>
    <row r="62" spans="1:6" s="17" customFormat="1" x14ac:dyDescent="0.25">
      <c r="A62" s="97">
        <v>60</v>
      </c>
      <c r="B62" s="50" t="s">
        <v>102</v>
      </c>
      <c r="C62" s="15" t="s">
        <v>103</v>
      </c>
      <c r="D62" s="35" t="s">
        <v>152</v>
      </c>
      <c r="E62" s="15"/>
      <c r="F62" s="12"/>
    </row>
    <row r="63" spans="1:6" s="17" customFormat="1" x14ac:dyDescent="0.25">
      <c r="A63" s="97">
        <v>61</v>
      </c>
      <c r="B63" s="14" t="s">
        <v>104</v>
      </c>
      <c r="C63" s="15" t="s">
        <v>105</v>
      </c>
      <c r="D63" s="37">
        <v>2015</v>
      </c>
      <c r="E63" s="15"/>
      <c r="F63" s="12"/>
    </row>
    <row r="64" spans="1:6" s="17" customFormat="1" x14ac:dyDescent="0.25">
      <c r="A64" s="97">
        <v>62</v>
      </c>
      <c r="B64" s="14" t="s">
        <v>106</v>
      </c>
      <c r="C64" s="15" t="s">
        <v>107</v>
      </c>
      <c r="D64" s="37">
        <v>2015</v>
      </c>
      <c r="E64" s="15"/>
      <c r="F64" s="12"/>
    </row>
    <row r="65" spans="1:6" s="17" customFormat="1" x14ac:dyDescent="0.25">
      <c r="A65" s="97">
        <v>63</v>
      </c>
      <c r="B65" s="14" t="s">
        <v>108</v>
      </c>
      <c r="C65" s="15" t="s">
        <v>109</v>
      </c>
      <c r="D65" s="37">
        <v>2015</v>
      </c>
      <c r="E65" s="15"/>
      <c r="F65" s="12"/>
    </row>
    <row r="66" spans="1:6" s="17" customFormat="1" ht="16.5" customHeight="1" x14ac:dyDescent="0.25">
      <c r="A66" s="97">
        <v>64</v>
      </c>
      <c r="B66" s="134" t="s">
        <v>624</v>
      </c>
      <c r="C66" s="11">
        <v>2016</v>
      </c>
      <c r="D66" s="31" t="s">
        <v>152</v>
      </c>
      <c r="E66" s="15" t="s">
        <v>598</v>
      </c>
      <c r="F66" s="21"/>
    </row>
    <row r="67" spans="1:6" s="17" customFormat="1" x14ac:dyDescent="0.25">
      <c r="A67" s="97">
        <v>65</v>
      </c>
      <c r="B67" s="14" t="s">
        <v>111</v>
      </c>
      <c r="C67" s="15" t="s">
        <v>112</v>
      </c>
      <c r="D67" s="37">
        <v>2015</v>
      </c>
      <c r="E67" s="15"/>
      <c r="F67" s="12"/>
    </row>
    <row r="68" spans="1:6" s="17" customFormat="1" x14ac:dyDescent="0.25">
      <c r="A68" s="97">
        <v>66</v>
      </c>
      <c r="B68" s="14" t="s">
        <v>113</v>
      </c>
      <c r="C68" s="15" t="s">
        <v>114</v>
      </c>
      <c r="D68" s="37">
        <v>2015</v>
      </c>
      <c r="E68" s="15"/>
      <c r="F68" s="12"/>
    </row>
    <row r="69" spans="1:6" s="17" customFormat="1" x14ac:dyDescent="0.25">
      <c r="A69" s="97">
        <v>67</v>
      </c>
      <c r="B69" s="14" t="s">
        <v>115</v>
      </c>
      <c r="C69" s="15" t="s">
        <v>116</v>
      </c>
      <c r="D69" s="37">
        <v>2015</v>
      </c>
      <c r="E69" s="15"/>
      <c r="F69" s="12"/>
    </row>
    <row r="70" spans="1:6" s="17" customFormat="1" x14ac:dyDescent="0.25">
      <c r="A70" s="97">
        <v>68</v>
      </c>
      <c r="B70" s="14" t="s">
        <v>117</v>
      </c>
      <c r="C70" s="15" t="s">
        <v>118</v>
      </c>
      <c r="D70" s="37">
        <v>2015</v>
      </c>
      <c r="E70" s="15"/>
      <c r="F70" s="12"/>
    </row>
    <row r="71" spans="1:6" s="96" customFormat="1" ht="31.5" customHeight="1" x14ac:dyDescent="0.25">
      <c r="A71" s="98">
        <v>69</v>
      </c>
      <c r="B71" s="92" t="s">
        <v>119</v>
      </c>
      <c r="C71" s="93" t="s">
        <v>120</v>
      </c>
      <c r="D71" s="93">
        <v>2016</v>
      </c>
      <c r="E71" s="94" t="s">
        <v>598</v>
      </c>
      <c r="F71" s="95" t="s">
        <v>121</v>
      </c>
    </row>
    <row r="72" spans="1:6" s="17" customFormat="1" x14ac:dyDescent="0.25">
      <c r="A72" s="97">
        <v>70</v>
      </c>
      <c r="B72" s="14" t="s">
        <v>600</v>
      </c>
      <c r="C72" s="15" t="s">
        <v>123</v>
      </c>
      <c r="D72" s="37">
        <v>2015</v>
      </c>
      <c r="E72" s="15"/>
      <c r="F72" s="12"/>
    </row>
    <row r="73" spans="1:6" s="17" customFormat="1" x14ac:dyDescent="0.25">
      <c r="A73" s="97">
        <v>71</v>
      </c>
      <c r="B73" s="14" t="s">
        <v>124</v>
      </c>
      <c r="C73" s="15">
        <v>2016</v>
      </c>
      <c r="D73" s="31" t="s">
        <v>152</v>
      </c>
      <c r="E73" s="15"/>
      <c r="F73" s="12"/>
    </row>
    <row r="74" spans="1:6" s="17" customFormat="1" x14ac:dyDescent="0.25">
      <c r="A74" s="97">
        <v>72</v>
      </c>
      <c r="B74" s="14" t="s">
        <v>125</v>
      </c>
      <c r="C74" s="15" t="s">
        <v>126</v>
      </c>
      <c r="D74" s="37">
        <v>2015</v>
      </c>
      <c r="E74" s="15"/>
      <c r="F74" s="12"/>
    </row>
    <row r="75" spans="1:6" s="17" customFormat="1" x14ac:dyDescent="0.25">
      <c r="A75" s="97">
        <v>73</v>
      </c>
      <c r="B75" s="14" t="s">
        <v>127</v>
      </c>
      <c r="C75" s="15" t="s">
        <v>128</v>
      </c>
      <c r="D75" s="37">
        <v>2015</v>
      </c>
      <c r="E75" s="15"/>
      <c r="F75" s="12"/>
    </row>
    <row r="76" spans="1:6" s="17" customFormat="1" x14ac:dyDescent="0.25">
      <c r="A76" s="97">
        <v>74</v>
      </c>
      <c r="B76" s="14" t="s">
        <v>129</v>
      </c>
      <c r="C76" s="15" t="s">
        <v>92</v>
      </c>
      <c r="D76" s="15"/>
      <c r="E76" s="15"/>
      <c r="F76" s="12"/>
    </row>
    <row r="77" spans="1:6" s="17" customFormat="1" x14ac:dyDescent="0.25">
      <c r="A77" s="97">
        <v>75</v>
      </c>
      <c r="B77" s="14" t="s">
        <v>130</v>
      </c>
      <c r="C77" s="15" t="s">
        <v>131</v>
      </c>
      <c r="D77" s="15"/>
      <c r="E77" s="15"/>
      <c r="F77" s="18" t="s">
        <v>638</v>
      </c>
    </row>
    <row r="78" spans="1:6" x14ac:dyDescent="0.25">
      <c r="A78" s="99">
        <v>76</v>
      </c>
      <c r="B78" s="133" t="s">
        <v>634</v>
      </c>
      <c r="C78" s="33"/>
      <c r="D78" s="87" t="s">
        <v>633</v>
      </c>
      <c r="E78" s="15" t="s">
        <v>625</v>
      </c>
      <c r="F78" s="88" t="s">
        <v>640</v>
      </c>
    </row>
    <row r="79" spans="1:6" x14ac:dyDescent="0.25">
      <c r="A79" s="99">
        <v>77</v>
      </c>
      <c r="B79" s="133" t="s">
        <v>620</v>
      </c>
      <c r="C79" s="33"/>
      <c r="D79" s="87" t="s">
        <v>629</v>
      </c>
      <c r="E79" s="15" t="s">
        <v>625</v>
      </c>
      <c r="F79" s="88" t="s">
        <v>640</v>
      </c>
    </row>
    <row r="80" spans="1:6" s="17" customFormat="1" x14ac:dyDescent="0.25">
      <c r="A80" s="83" t="s">
        <v>631</v>
      </c>
      <c r="B80" s="85"/>
      <c r="C80" s="79"/>
      <c r="D80" s="79"/>
      <c r="E80" s="86"/>
      <c r="F80" s="84"/>
    </row>
    <row r="81" spans="1:6" x14ac:dyDescent="0.25">
      <c r="A81" s="99">
        <v>76</v>
      </c>
      <c r="B81" s="80" t="s">
        <v>601</v>
      </c>
      <c r="C81" s="33"/>
      <c r="D81" s="87" t="s">
        <v>626</v>
      </c>
      <c r="E81" s="15" t="s">
        <v>625</v>
      </c>
      <c r="F81" s="88" t="s">
        <v>637</v>
      </c>
    </row>
    <row r="82" spans="1:6" x14ac:dyDescent="0.25">
      <c r="A82" s="99">
        <v>77</v>
      </c>
      <c r="B82" s="110" t="s">
        <v>602</v>
      </c>
      <c r="C82" s="33"/>
      <c r="D82" s="87" t="s">
        <v>627</v>
      </c>
      <c r="E82" s="15" t="s">
        <v>625</v>
      </c>
      <c r="F82" s="88" t="s">
        <v>637</v>
      </c>
    </row>
    <row r="83" spans="1:6" x14ac:dyDescent="0.25">
      <c r="A83" s="99">
        <v>78</v>
      </c>
      <c r="B83" s="133" t="s">
        <v>603</v>
      </c>
      <c r="C83" s="33"/>
      <c r="D83" s="87" t="s">
        <v>627</v>
      </c>
      <c r="E83" s="15" t="s">
        <v>625</v>
      </c>
      <c r="F83" s="88" t="s">
        <v>637</v>
      </c>
    </row>
    <row r="84" spans="1:6" x14ac:dyDescent="0.25">
      <c r="A84" s="99">
        <v>79</v>
      </c>
      <c r="B84" s="133" t="s">
        <v>604</v>
      </c>
      <c r="C84" s="33"/>
      <c r="D84" s="87" t="s">
        <v>627</v>
      </c>
      <c r="E84" s="15" t="s">
        <v>625</v>
      </c>
      <c r="F84" s="88" t="s">
        <v>637</v>
      </c>
    </row>
    <row r="85" spans="1:6" x14ac:dyDescent="0.25">
      <c r="A85" s="99">
        <v>80</v>
      </c>
      <c r="B85" s="133" t="s">
        <v>605</v>
      </c>
      <c r="C85" s="33"/>
      <c r="D85" s="87" t="s">
        <v>628</v>
      </c>
      <c r="E85" s="15" t="s">
        <v>625</v>
      </c>
      <c r="F85" s="88" t="s">
        <v>637</v>
      </c>
    </row>
    <row r="86" spans="1:6" x14ac:dyDescent="0.25">
      <c r="A86" s="99">
        <v>81</v>
      </c>
      <c r="B86" s="133" t="s">
        <v>606</v>
      </c>
      <c r="C86" s="33"/>
      <c r="D86" s="87" t="s">
        <v>627</v>
      </c>
      <c r="E86" s="15" t="s">
        <v>625</v>
      </c>
      <c r="F86" s="88" t="s">
        <v>637</v>
      </c>
    </row>
    <row r="87" spans="1:6" x14ac:dyDescent="0.25">
      <c r="A87" s="99">
        <v>82</v>
      </c>
      <c r="B87" s="89" t="s">
        <v>607</v>
      </c>
      <c r="C87" s="33"/>
      <c r="D87" s="87" t="s">
        <v>627</v>
      </c>
      <c r="E87" s="15" t="s">
        <v>625</v>
      </c>
      <c r="F87" s="88" t="s">
        <v>637</v>
      </c>
    </row>
    <row r="88" spans="1:6" x14ac:dyDescent="0.25">
      <c r="A88" s="99">
        <v>83</v>
      </c>
      <c r="B88" s="89" t="s">
        <v>608</v>
      </c>
      <c r="C88" s="33"/>
      <c r="D88" s="87" t="s">
        <v>629</v>
      </c>
      <c r="E88" s="15" t="s">
        <v>625</v>
      </c>
      <c r="F88" s="88" t="s">
        <v>637</v>
      </c>
    </row>
    <row r="89" spans="1:6" x14ac:dyDescent="0.25">
      <c r="A89" s="99">
        <v>84</v>
      </c>
      <c r="B89" s="133" t="s">
        <v>609</v>
      </c>
      <c r="C89" s="33"/>
      <c r="D89" s="87" t="s">
        <v>630</v>
      </c>
      <c r="E89" s="15" t="s">
        <v>625</v>
      </c>
      <c r="F89" s="88" t="s">
        <v>637</v>
      </c>
    </row>
    <row r="90" spans="1:6" x14ac:dyDescent="0.25">
      <c r="A90" s="99">
        <v>85</v>
      </c>
      <c r="B90" s="90" t="s">
        <v>610</v>
      </c>
      <c r="C90" s="33"/>
      <c r="D90" s="91" t="s">
        <v>626</v>
      </c>
      <c r="E90" s="15" t="s">
        <v>625</v>
      </c>
      <c r="F90" s="88" t="s">
        <v>637</v>
      </c>
    </row>
    <row r="91" spans="1:6" x14ac:dyDescent="0.25">
      <c r="A91" s="99">
        <v>86</v>
      </c>
      <c r="B91" s="89" t="s">
        <v>611</v>
      </c>
      <c r="C91" s="33"/>
      <c r="D91" s="87" t="s">
        <v>628</v>
      </c>
      <c r="E91" s="15" t="s">
        <v>625</v>
      </c>
      <c r="F91" s="88" t="s">
        <v>637</v>
      </c>
    </row>
    <row r="92" spans="1:6" x14ac:dyDescent="0.25">
      <c r="A92" s="99">
        <v>87</v>
      </c>
      <c r="B92" s="133" t="s">
        <v>612</v>
      </c>
      <c r="C92" s="33"/>
      <c r="D92" s="87" t="s">
        <v>627</v>
      </c>
      <c r="E92" s="15" t="s">
        <v>625</v>
      </c>
      <c r="F92" s="88" t="s">
        <v>637</v>
      </c>
    </row>
    <row r="93" spans="1:6" x14ac:dyDescent="0.25">
      <c r="A93" s="99">
        <v>88</v>
      </c>
      <c r="B93" s="89" t="s">
        <v>613</v>
      </c>
      <c r="C93" s="33"/>
      <c r="D93" s="33" t="s">
        <v>628</v>
      </c>
      <c r="E93" s="15" t="s">
        <v>625</v>
      </c>
      <c r="F93" s="88" t="s">
        <v>637</v>
      </c>
    </row>
    <row r="94" spans="1:6" x14ac:dyDescent="0.25">
      <c r="A94" s="99">
        <v>89</v>
      </c>
      <c r="B94" s="133" t="s">
        <v>614</v>
      </c>
      <c r="C94" s="33"/>
      <c r="D94" s="33" t="s">
        <v>627</v>
      </c>
      <c r="E94" s="15" t="s">
        <v>625</v>
      </c>
      <c r="F94" s="88" t="s">
        <v>637</v>
      </c>
    </row>
    <row r="95" spans="1:6" x14ac:dyDescent="0.25">
      <c r="A95" s="99">
        <v>90</v>
      </c>
      <c r="B95" s="90" t="s">
        <v>615</v>
      </c>
      <c r="C95" s="33"/>
      <c r="D95" s="91" t="s">
        <v>626</v>
      </c>
      <c r="E95" s="15" t="s">
        <v>625</v>
      </c>
      <c r="F95" s="88" t="s">
        <v>637</v>
      </c>
    </row>
    <row r="96" spans="1:6" x14ac:dyDescent="0.25">
      <c r="A96" s="99">
        <v>91</v>
      </c>
      <c r="B96" s="89" t="s">
        <v>616</v>
      </c>
      <c r="C96" s="33"/>
      <c r="D96" s="87" t="s">
        <v>628</v>
      </c>
      <c r="E96" s="15" t="s">
        <v>625</v>
      </c>
      <c r="F96" s="88" t="s">
        <v>637</v>
      </c>
    </row>
    <row r="97" spans="1:6" x14ac:dyDescent="0.25">
      <c r="A97" s="99">
        <v>92</v>
      </c>
      <c r="B97" s="133" t="s">
        <v>617</v>
      </c>
      <c r="C97" s="33"/>
      <c r="D97" s="87" t="s">
        <v>627</v>
      </c>
      <c r="E97" s="15" t="s">
        <v>625</v>
      </c>
      <c r="F97" s="88" t="s">
        <v>637</v>
      </c>
    </row>
    <row r="98" spans="1:6" x14ac:dyDescent="0.25">
      <c r="A98" s="99">
        <v>93</v>
      </c>
      <c r="B98" s="89" t="s">
        <v>618</v>
      </c>
      <c r="C98" s="33"/>
      <c r="D98" s="87" t="s">
        <v>632</v>
      </c>
      <c r="E98" s="15" t="s">
        <v>625</v>
      </c>
      <c r="F98" s="88" t="s">
        <v>637</v>
      </c>
    </row>
    <row r="99" spans="1:6" x14ac:dyDescent="0.25">
      <c r="A99" s="99">
        <v>94</v>
      </c>
      <c r="B99" s="133" t="s">
        <v>619</v>
      </c>
      <c r="C99" s="33"/>
      <c r="D99" s="87" t="s">
        <v>630</v>
      </c>
      <c r="E99" s="15" t="s">
        <v>625</v>
      </c>
      <c r="F99" s="88" t="s">
        <v>637</v>
      </c>
    </row>
    <row r="100" spans="1:6" x14ac:dyDescent="0.25">
      <c r="A100" s="99">
        <v>96</v>
      </c>
      <c r="B100" s="133" t="s">
        <v>621</v>
      </c>
      <c r="C100" s="33"/>
      <c r="D100" s="87" t="s">
        <v>633</v>
      </c>
      <c r="E100" s="15" t="s">
        <v>625</v>
      </c>
      <c r="F100" s="88" t="s">
        <v>637</v>
      </c>
    </row>
    <row r="101" spans="1:6" x14ac:dyDescent="0.25">
      <c r="A101" s="99">
        <v>97</v>
      </c>
      <c r="B101" s="133" t="s">
        <v>622</v>
      </c>
      <c r="C101" s="33"/>
      <c r="D101" s="87" t="s">
        <v>630</v>
      </c>
      <c r="E101" s="15" t="s">
        <v>625</v>
      </c>
      <c r="F101" s="88" t="s">
        <v>637</v>
      </c>
    </row>
    <row r="104" spans="1:6" x14ac:dyDescent="0.25">
      <c r="B104" s="34" t="s">
        <v>717</v>
      </c>
    </row>
  </sheetData>
  <autoFilter ref="D1:D101"/>
  <conditionalFormatting sqref="D18">
    <cfRule type="expression" dxfId="1983" priority="480">
      <formula>"P7 (2016)"</formula>
    </cfRule>
  </conditionalFormatting>
  <conditionalFormatting sqref="D18">
    <cfRule type="containsText" dxfId="1982" priority="473" operator="containsText" text="P7 (2016)">
      <formula>NOT(ISERROR(SEARCH("P7 (2016)",D18)))</formula>
    </cfRule>
    <cfRule type="containsText" dxfId="1981" priority="474" operator="containsText" text="NP">
      <formula>NOT(ISERROR(SEARCH("NP",D18)))</formula>
    </cfRule>
    <cfRule type="containsText" dxfId="1980" priority="475" operator="containsText" text="P7 (2015/ON HILL)">
      <formula>NOT(ISERROR(SEARCH("P7 (2015/ON HILL)",D18)))</formula>
    </cfRule>
    <cfRule type="containsText" dxfId="1979" priority="476" operator="containsText" text="M (2015/NURSERY)">
      <formula>NOT(ISERROR(SEARCH("M (2015/NURSERY)",D18)))</formula>
    </cfRule>
    <cfRule type="containsText" dxfId="1978" priority="477" operator="containsText" text="M (2016/PLOT3)">
      <formula>NOT(ISERROR(SEARCH("M (2016/PLOT3)",D18)))</formula>
    </cfRule>
    <cfRule type="containsText" dxfId="1977" priority="478" operator="containsText" text="M (2017)">
      <formula>NOT(ISERROR(SEARCH("M (2017)",D18)))</formula>
    </cfRule>
    <cfRule type="containsText" dxfId="1976" priority="479" operator="containsText" text="P1 (2017)">
      <formula>NOT(ISERROR(SEARCH("P1 (2017)",D18)))</formula>
    </cfRule>
  </conditionalFormatting>
  <conditionalFormatting sqref="D22">
    <cfRule type="expression" dxfId="1975" priority="472">
      <formula>"P7 (2016)"</formula>
    </cfRule>
  </conditionalFormatting>
  <conditionalFormatting sqref="D22">
    <cfRule type="containsText" dxfId="1974" priority="465" operator="containsText" text="P7 (2016)">
      <formula>NOT(ISERROR(SEARCH("P7 (2016)",D22)))</formula>
    </cfRule>
    <cfRule type="containsText" dxfId="1973" priority="466" operator="containsText" text="NP">
      <formula>NOT(ISERROR(SEARCH("NP",D22)))</formula>
    </cfRule>
    <cfRule type="containsText" dxfId="1972" priority="467" operator="containsText" text="P7 (2015/ON HILL)">
      <formula>NOT(ISERROR(SEARCH("P7 (2015/ON HILL)",D22)))</formula>
    </cfRule>
    <cfRule type="containsText" dxfId="1971" priority="468" operator="containsText" text="M (2015/NURSERY)">
      <formula>NOT(ISERROR(SEARCH("M (2015/NURSERY)",D22)))</formula>
    </cfRule>
    <cfRule type="containsText" dxfId="1970" priority="469" operator="containsText" text="M (2016/PLOT3)">
      <formula>NOT(ISERROR(SEARCH("M (2016/PLOT3)",D22)))</formula>
    </cfRule>
    <cfRule type="containsText" dxfId="1969" priority="470" operator="containsText" text="M (2017)">
      <formula>NOT(ISERROR(SEARCH("M (2017)",D22)))</formula>
    </cfRule>
    <cfRule type="containsText" dxfId="1968" priority="471" operator="containsText" text="P1 (2017)">
      <formula>NOT(ISERROR(SEARCH("P1 (2017)",D22)))</formula>
    </cfRule>
  </conditionalFormatting>
  <conditionalFormatting sqref="D19:D20 D17 D12:D13 D10">
    <cfRule type="expression" dxfId="1967" priority="464">
      <formula>"P7 (2016)"</formula>
    </cfRule>
  </conditionalFormatting>
  <conditionalFormatting sqref="D19:D20 D17 D12:D13 D10">
    <cfRule type="containsText" dxfId="1966" priority="457" operator="containsText" text="P7 (2016)">
      <formula>NOT(ISERROR(SEARCH("P7 (2016)",D10)))</formula>
    </cfRule>
    <cfRule type="containsText" dxfId="1965" priority="458" operator="containsText" text="NP">
      <formula>NOT(ISERROR(SEARCH("NP",D10)))</formula>
    </cfRule>
    <cfRule type="containsText" dxfId="1964" priority="459" operator="containsText" text="P7 (2015/ON HILL)">
      <formula>NOT(ISERROR(SEARCH("P7 (2015/ON HILL)",D10)))</formula>
    </cfRule>
    <cfRule type="containsText" dxfId="1963" priority="460" operator="containsText" text="M (2015/NURSERY)">
      <formula>NOT(ISERROR(SEARCH("M (2015/NURSERY)",D10)))</formula>
    </cfRule>
    <cfRule type="containsText" dxfId="1962" priority="461" operator="containsText" text="M (2016/PLOT3)">
      <formula>NOT(ISERROR(SEARCH("M (2016/PLOT3)",D10)))</formula>
    </cfRule>
    <cfRule type="containsText" dxfId="1961" priority="462" operator="containsText" text="M (2017)">
      <formula>NOT(ISERROR(SEARCH("M (2017)",D10)))</formula>
    </cfRule>
    <cfRule type="containsText" dxfId="1960" priority="463" operator="containsText" text="P1 (2017)">
      <formula>NOT(ISERROR(SEARCH("P1 (2017)",D10)))</formula>
    </cfRule>
  </conditionalFormatting>
  <conditionalFormatting sqref="D4:D5">
    <cfRule type="expression" dxfId="1959" priority="456">
      <formula>"P7 (2016)"</formula>
    </cfRule>
  </conditionalFormatting>
  <conditionalFormatting sqref="D4:D5">
    <cfRule type="containsText" dxfId="1958" priority="449" operator="containsText" text="P7 (2016)">
      <formula>NOT(ISERROR(SEARCH("P7 (2016)",D4)))</formula>
    </cfRule>
    <cfRule type="containsText" dxfId="1957" priority="450" operator="containsText" text="NP">
      <formula>NOT(ISERROR(SEARCH("NP",D4)))</formula>
    </cfRule>
    <cfRule type="containsText" dxfId="1956" priority="451" operator="containsText" text="P7 (2015/ON HILL)">
      <formula>NOT(ISERROR(SEARCH("P7 (2015/ON HILL)",D4)))</formula>
    </cfRule>
    <cfRule type="containsText" dxfId="1955" priority="452" operator="containsText" text="M (2015/NURSERY)">
      <formula>NOT(ISERROR(SEARCH("M (2015/NURSERY)",D4)))</formula>
    </cfRule>
    <cfRule type="containsText" dxfId="1954" priority="453" operator="containsText" text="M (2016/PLOT3)">
      <formula>NOT(ISERROR(SEARCH("M (2016/PLOT3)",D4)))</formula>
    </cfRule>
    <cfRule type="containsText" dxfId="1953" priority="454" operator="containsText" text="M (2017)">
      <formula>NOT(ISERROR(SEARCH("M (2017)",D4)))</formula>
    </cfRule>
    <cfRule type="containsText" dxfId="1952" priority="455" operator="containsText" text="P1 (2017)">
      <formula>NOT(ISERROR(SEARCH("P1 (2017)",D4)))</formula>
    </cfRule>
  </conditionalFormatting>
  <conditionalFormatting sqref="D7:D9">
    <cfRule type="expression" dxfId="1951" priority="448">
      <formula>"P7 (2016)"</formula>
    </cfRule>
  </conditionalFormatting>
  <conditionalFormatting sqref="D7:D9">
    <cfRule type="containsText" dxfId="1950" priority="441" operator="containsText" text="P7 (2016)">
      <formula>NOT(ISERROR(SEARCH("P7 (2016)",D7)))</formula>
    </cfRule>
    <cfRule type="containsText" dxfId="1949" priority="442" operator="containsText" text="NP">
      <formula>NOT(ISERROR(SEARCH("NP",D7)))</formula>
    </cfRule>
    <cfRule type="containsText" dxfId="1948" priority="443" operator="containsText" text="P7 (2015/ON HILL)">
      <formula>NOT(ISERROR(SEARCH("P7 (2015/ON HILL)",D7)))</formula>
    </cfRule>
    <cfRule type="containsText" dxfId="1947" priority="444" operator="containsText" text="M (2015/NURSERY)">
      <formula>NOT(ISERROR(SEARCH("M (2015/NURSERY)",D7)))</formula>
    </cfRule>
    <cfRule type="containsText" dxfId="1946" priority="445" operator="containsText" text="M (2016/PLOT3)">
      <formula>NOT(ISERROR(SEARCH("M (2016/PLOT3)",D7)))</formula>
    </cfRule>
    <cfRule type="containsText" dxfId="1945" priority="446" operator="containsText" text="M (2017)">
      <formula>NOT(ISERROR(SEARCH("M (2017)",D7)))</formula>
    </cfRule>
    <cfRule type="containsText" dxfId="1944" priority="447" operator="containsText" text="P1 (2017)">
      <formula>NOT(ISERROR(SEARCH("P1 (2017)",D7)))</formula>
    </cfRule>
  </conditionalFormatting>
  <conditionalFormatting sqref="D6">
    <cfRule type="expression" dxfId="1943" priority="440">
      <formula>"P7 (2016)"</formula>
    </cfRule>
  </conditionalFormatting>
  <conditionalFormatting sqref="D6">
    <cfRule type="containsText" dxfId="1942" priority="433" operator="containsText" text="P7 (2016)">
      <formula>NOT(ISERROR(SEARCH("P7 (2016)",D6)))</formula>
    </cfRule>
    <cfRule type="containsText" dxfId="1941" priority="434" operator="containsText" text="NP">
      <formula>NOT(ISERROR(SEARCH("NP",D6)))</formula>
    </cfRule>
    <cfRule type="containsText" dxfId="1940" priority="435" operator="containsText" text="P7 (2015/ON HILL)">
      <formula>NOT(ISERROR(SEARCH("P7 (2015/ON HILL)",D6)))</formula>
    </cfRule>
    <cfRule type="containsText" dxfId="1939" priority="436" operator="containsText" text="M (2015/NURSERY)">
      <formula>NOT(ISERROR(SEARCH("M (2015/NURSERY)",D6)))</formula>
    </cfRule>
    <cfRule type="containsText" dxfId="1938" priority="437" operator="containsText" text="M (2016/PLOT3)">
      <formula>NOT(ISERROR(SEARCH("M (2016/PLOT3)",D6)))</formula>
    </cfRule>
    <cfRule type="containsText" dxfId="1937" priority="438" operator="containsText" text="M (2017)">
      <formula>NOT(ISERROR(SEARCH("M (2017)",D6)))</formula>
    </cfRule>
    <cfRule type="containsText" dxfId="1936" priority="439" operator="containsText" text="P1 (2017)">
      <formula>NOT(ISERROR(SEARCH("P1 (2017)",D6)))</formula>
    </cfRule>
  </conditionalFormatting>
  <conditionalFormatting sqref="D3">
    <cfRule type="expression" dxfId="1935" priority="432">
      <formula>"P7 (2016)"</formula>
    </cfRule>
  </conditionalFormatting>
  <conditionalFormatting sqref="D3">
    <cfRule type="containsText" dxfId="1934" priority="425" operator="containsText" text="P7 (2016)">
      <formula>NOT(ISERROR(SEARCH("P7 (2016)",D3)))</formula>
    </cfRule>
    <cfRule type="containsText" dxfId="1933" priority="426" operator="containsText" text="NP">
      <formula>NOT(ISERROR(SEARCH("NP",D3)))</formula>
    </cfRule>
    <cfRule type="containsText" dxfId="1932" priority="427" operator="containsText" text="P7 (2015/ON HILL)">
      <formula>NOT(ISERROR(SEARCH("P7 (2015/ON HILL)",D3)))</formula>
    </cfRule>
    <cfRule type="containsText" dxfId="1931" priority="428" operator="containsText" text="M (2015/NURSERY)">
      <formula>NOT(ISERROR(SEARCH("M (2015/NURSERY)",D3)))</formula>
    </cfRule>
    <cfRule type="containsText" dxfId="1930" priority="429" operator="containsText" text="M (2016/PLOT3)">
      <formula>NOT(ISERROR(SEARCH("M (2016/PLOT3)",D3)))</formula>
    </cfRule>
    <cfRule type="containsText" dxfId="1929" priority="430" operator="containsText" text="M (2017)">
      <formula>NOT(ISERROR(SEARCH("M (2017)",D3)))</formula>
    </cfRule>
    <cfRule type="containsText" dxfId="1928" priority="431" operator="containsText" text="P1 (2017)">
      <formula>NOT(ISERROR(SEARCH("P1 (2017)",D3)))</formula>
    </cfRule>
  </conditionalFormatting>
  <conditionalFormatting sqref="D62">
    <cfRule type="expression" dxfId="1927" priority="424">
      <formula>"P7 (2016)"</formula>
    </cfRule>
  </conditionalFormatting>
  <conditionalFormatting sqref="D62">
    <cfRule type="containsText" dxfId="1926" priority="417" operator="containsText" text="P7 (2016)">
      <formula>NOT(ISERROR(SEARCH("P7 (2016)",D62)))</formula>
    </cfRule>
    <cfRule type="containsText" dxfId="1925" priority="418" operator="containsText" text="NP">
      <formula>NOT(ISERROR(SEARCH("NP",D62)))</formula>
    </cfRule>
    <cfRule type="containsText" dxfId="1924" priority="419" operator="containsText" text="P7 (2015/ON HILL)">
      <formula>NOT(ISERROR(SEARCH("P7 (2015/ON HILL)",D62)))</formula>
    </cfRule>
    <cfRule type="containsText" dxfId="1923" priority="420" operator="containsText" text="M (2015/NURSERY)">
      <formula>NOT(ISERROR(SEARCH("M (2015/NURSERY)",D62)))</formula>
    </cfRule>
    <cfRule type="containsText" dxfId="1922" priority="421" operator="containsText" text="M (2016/PLOT3)">
      <formula>NOT(ISERROR(SEARCH("M (2016/PLOT3)",D62)))</formula>
    </cfRule>
    <cfRule type="containsText" dxfId="1921" priority="422" operator="containsText" text="M (2017)">
      <formula>NOT(ISERROR(SEARCH("M (2017)",D62)))</formula>
    </cfRule>
    <cfRule type="containsText" dxfId="1920" priority="423" operator="containsText" text="P1 (2017)">
      <formula>NOT(ISERROR(SEARCH("P1 (2017)",D62)))</formula>
    </cfRule>
  </conditionalFormatting>
  <conditionalFormatting sqref="D62">
    <cfRule type="expression" dxfId="1919" priority="416">
      <formula>"P7 (2016)"</formula>
    </cfRule>
  </conditionalFormatting>
  <conditionalFormatting sqref="D62">
    <cfRule type="containsText" dxfId="1918" priority="409" operator="containsText" text="P7 (2016)">
      <formula>NOT(ISERROR(SEARCH("P7 (2016)",D62)))</formula>
    </cfRule>
    <cfRule type="containsText" dxfId="1917" priority="410" operator="containsText" text="NP">
      <formula>NOT(ISERROR(SEARCH("NP",D62)))</formula>
    </cfRule>
    <cfRule type="containsText" dxfId="1916" priority="411" operator="containsText" text="P7 (2015/ON HILL)">
      <formula>NOT(ISERROR(SEARCH("P7 (2015/ON HILL)",D62)))</formula>
    </cfRule>
    <cfRule type="containsText" dxfId="1915" priority="412" operator="containsText" text="M (2015/NURSERY)">
      <formula>NOT(ISERROR(SEARCH("M (2015/NURSERY)",D62)))</formula>
    </cfRule>
    <cfRule type="containsText" dxfId="1914" priority="413" operator="containsText" text="M (2016/PLOT3)">
      <formula>NOT(ISERROR(SEARCH("M (2016/PLOT3)",D62)))</formula>
    </cfRule>
    <cfRule type="containsText" dxfId="1913" priority="414" operator="containsText" text="M (2017)">
      <formula>NOT(ISERROR(SEARCH("M (2017)",D62)))</formula>
    </cfRule>
    <cfRule type="containsText" dxfId="1912" priority="415" operator="containsText" text="P1 (2017)">
      <formula>NOT(ISERROR(SEARCH("P1 (2017)",D62)))</formula>
    </cfRule>
  </conditionalFormatting>
  <conditionalFormatting sqref="D61">
    <cfRule type="expression" dxfId="1911" priority="408">
      <formula>"P7 (2016)"</formula>
    </cfRule>
  </conditionalFormatting>
  <conditionalFormatting sqref="D61">
    <cfRule type="containsText" dxfId="1910" priority="401" operator="containsText" text="P7 (2016)">
      <formula>NOT(ISERROR(SEARCH("P7 (2016)",D61)))</formula>
    </cfRule>
    <cfRule type="containsText" dxfId="1909" priority="402" operator="containsText" text="NP">
      <formula>NOT(ISERROR(SEARCH("NP",D61)))</formula>
    </cfRule>
    <cfRule type="containsText" dxfId="1908" priority="403" operator="containsText" text="P7 (2015/ON HILL)">
      <formula>NOT(ISERROR(SEARCH("P7 (2015/ON HILL)",D61)))</formula>
    </cfRule>
    <cfRule type="containsText" dxfId="1907" priority="404" operator="containsText" text="M (2015/NURSERY)">
      <formula>NOT(ISERROR(SEARCH("M (2015/NURSERY)",D61)))</formula>
    </cfRule>
    <cfRule type="containsText" dxfId="1906" priority="405" operator="containsText" text="M (2016/PLOT3)">
      <formula>NOT(ISERROR(SEARCH("M (2016/PLOT3)",D61)))</formula>
    </cfRule>
    <cfRule type="containsText" dxfId="1905" priority="406" operator="containsText" text="M (2017)">
      <formula>NOT(ISERROR(SEARCH("M (2017)",D61)))</formula>
    </cfRule>
    <cfRule type="containsText" dxfId="1904" priority="407" operator="containsText" text="P1 (2017)">
      <formula>NOT(ISERROR(SEARCH("P1 (2017)",D61)))</formula>
    </cfRule>
  </conditionalFormatting>
  <conditionalFormatting sqref="D63:D64">
    <cfRule type="expression" dxfId="1903" priority="400">
      <formula>"P7 (2016)"</formula>
    </cfRule>
  </conditionalFormatting>
  <conditionalFormatting sqref="D63:D64">
    <cfRule type="containsText" dxfId="1902" priority="393" operator="containsText" text="P7 (2016)">
      <formula>NOT(ISERROR(SEARCH("P7 (2016)",D63)))</formula>
    </cfRule>
    <cfRule type="containsText" dxfId="1901" priority="394" operator="containsText" text="NP">
      <formula>NOT(ISERROR(SEARCH("NP",D63)))</formula>
    </cfRule>
    <cfRule type="containsText" dxfId="1900" priority="395" operator="containsText" text="P7 (2015/ON HILL)">
      <formula>NOT(ISERROR(SEARCH("P7 (2015/ON HILL)",D63)))</formula>
    </cfRule>
    <cfRule type="containsText" dxfId="1899" priority="396" operator="containsText" text="M (2015/NURSERY)">
      <formula>NOT(ISERROR(SEARCH("M (2015/NURSERY)",D63)))</formula>
    </cfRule>
    <cfRule type="containsText" dxfId="1898" priority="397" operator="containsText" text="M (2016/PLOT3)">
      <formula>NOT(ISERROR(SEARCH("M (2016/PLOT3)",D63)))</formula>
    </cfRule>
    <cfRule type="containsText" dxfId="1897" priority="398" operator="containsText" text="M (2017)">
      <formula>NOT(ISERROR(SEARCH("M (2017)",D63)))</formula>
    </cfRule>
    <cfRule type="containsText" dxfId="1896" priority="399" operator="containsText" text="P1 (2017)">
      <formula>NOT(ISERROR(SEARCH("P1 (2017)",D63)))</formula>
    </cfRule>
  </conditionalFormatting>
  <conditionalFormatting sqref="D65">
    <cfRule type="expression" dxfId="1895" priority="392">
      <formula>"P7 (2016)"</formula>
    </cfRule>
  </conditionalFormatting>
  <conditionalFormatting sqref="D65">
    <cfRule type="containsText" dxfId="1894" priority="385" operator="containsText" text="P7 (2016)">
      <formula>NOT(ISERROR(SEARCH("P7 (2016)",D65)))</formula>
    </cfRule>
    <cfRule type="containsText" dxfId="1893" priority="386" operator="containsText" text="NP">
      <formula>NOT(ISERROR(SEARCH("NP",D65)))</formula>
    </cfRule>
    <cfRule type="containsText" dxfId="1892" priority="387" operator="containsText" text="P7 (2015/ON HILL)">
      <formula>NOT(ISERROR(SEARCH("P7 (2015/ON HILL)",D65)))</formula>
    </cfRule>
    <cfRule type="containsText" dxfId="1891" priority="388" operator="containsText" text="M (2015/NURSERY)">
      <formula>NOT(ISERROR(SEARCH("M (2015/NURSERY)",D65)))</formula>
    </cfRule>
    <cfRule type="containsText" dxfId="1890" priority="389" operator="containsText" text="M (2016/PLOT3)">
      <formula>NOT(ISERROR(SEARCH("M (2016/PLOT3)",D65)))</formula>
    </cfRule>
    <cfRule type="containsText" dxfId="1889" priority="390" operator="containsText" text="M (2017)">
      <formula>NOT(ISERROR(SEARCH("M (2017)",D65)))</formula>
    </cfRule>
    <cfRule type="containsText" dxfId="1888" priority="391" operator="containsText" text="P1 (2017)">
      <formula>NOT(ISERROR(SEARCH("P1 (2017)",D65)))</formula>
    </cfRule>
  </conditionalFormatting>
  <conditionalFormatting sqref="D66">
    <cfRule type="expression" dxfId="1887" priority="384">
      <formula>"P7 (2016)"</formula>
    </cfRule>
  </conditionalFormatting>
  <conditionalFormatting sqref="D66">
    <cfRule type="containsText" dxfId="1886" priority="377" operator="containsText" text="P7 (2016)">
      <formula>NOT(ISERROR(SEARCH("P7 (2016)",D66)))</formula>
    </cfRule>
    <cfRule type="containsText" dxfId="1885" priority="378" operator="containsText" text="NP">
      <formula>NOT(ISERROR(SEARCH("NP",D66)))</formula>
    </cfRule>
    <cfRule type="containsText" dxfId="1884" priority="379" operator="containsText" text="P7 (2015/ON HILL)">
      <formula>NOT(ISERROR(SEARCH("P7 (2015/ON HILL)",D66)))</formula>
    </cfRule>
    <cfRule type="containsText" dxfId="1883" priority="380" operator="containsText" text="M (2015/NURSERY)">
      <formula>NOT(ISERROR(SEARCH("M (2015/NURSERY)",D66)))</formula>
    </cfRule>
    <cfRule type="containsText" dxfId="1882" priority="381" operator="containsText" text="M (2016/PLOT3)">
      <formula>NOT(ISERROR(SEARCH("M (2016/PLOT3)",D66)))</formula>
    </cfRule>
    <cfRule type="containsText" dxfId="1881" priority="382" operator="containsText" text="M (2017)">
      <formula>NOT(ISERROR(SEARCH("M (2017)",D66)))</formula>
    </cfRule>
    <cfRule type="containsText" dxfId="1880" priority="383" operator="containsText" text="P1 (2017)">
      <formula>NOT(ISERROR(SEARCH("P1 (2017)",D66)))</formula>
    </cfRule>
  </conditionalFormatting>
  <conditionalFormatting sqref="D24">
    <cfRule type="expression" dxfId="1879" priority="376">
      <formula>"P7 (2016)"</formula>
    </cfRule>
  </conditionalFormatting>
  <conditionalFormatting sqref="D24">
    <cfRule type="containsText" dxfId="1878" priority="369" operator="containsText" text="P7 (2016)">
      <formula>NOT(ISERROR(SEARCH("P7 (2016)",D24)))</formula>
    </cfRule>
    <cfRule type="containsText" dxfId="1877" priority="370" operator="containsText" text="NP">
      <formula>NOT(ISERROR(SEARCH("NP",D24)))</formula>
    </cfRule>
    <cfRule type="containsText" dxfId="1876" priority="371" operator="containsText" text="P7 (2015/ON HILL)">
      <formula>NOT(ISERROR(SEARCH("P7 (2015/ON HILL)",D24)))</formula>
    </cfRule>
    <cfRule type="containsText" dxfId="1875" priority="372" operator="containsText" text="M (2015/NURSERY)">
      <formula>NOT(ISERROR(SEARCH("M (2015/NURSERY)",D24)))</formula>
    </cfRule>
    <cfRule type="containsText" dxfId="1874" priority="373" operator="containsText" text="M (2016/PLOT3)">
      <formula>NOT(ISERROR(SEARCH("M (2016/PLOT3)",D24)))</formula>
    </cfRule>
    <cfRule type="containsText" dxfId="1873" priority="374" operator="containsText" text="M (2017)">
      <formula>NOT(ISERROR(SEARCH("M (2017)",D24)))</formula>
    </cfRule>
    <cfRule type="containsText" dxfId="1872" priority="375" operator="containsText" text="P1 (2017)">
      <formula>NOT(ISERROR(SEARCH("P1 (2017)",D24)))</formula>
    </cfRule>
  </conditionalFormatting>
  <conditionalFormatting sqref="D23">
    <cfRule type="expression" dxfId="1871" priority="368">
      <formula>"P7 (2016)"</formula>
    </cfRule>
  </conditionalFormatting>
  <conditionalFormatting sqref="D23">
    <cfRule type="containsText" dxfId="1870" priority="361" operator="containsText" text="P7 (2016)">
      <formula>NOT(ISERROR(SEARCH("P7 (2016)",D23)))</formula>
    </cfRule>
    <cfRule type="containsText" dxfId="1869" priority="362" operator="containsText" text="NP">
      <formula>NOT(ISERROR(SEARCH("NP",D23)))</formula>
    </cfRule>
    <cfRule type="containsText" dxfId="1868" priority="363" operator="containsText" text="P7 (2015/ON HILL)">
      <formula>NOT(ISERROR(SEARCH("P7 (2015/ON HILL)",D23)))</formula>
    </cfRule>
    <cfRule type="containsText" dxfId="1867" priority="364" operator="containsText" text="M (2015/NURSERY)">
      <formula>NOT(ISERROR(SEARCH("M (2015/NURSERY)",D23)))</formula>
    </cfRule>
    <cfRule type="containsText" dxfId="1866" priority="365" operator="containsText" text="M (2016/PLOT3)">
      <formula>NOT(ISERROR(SEARCH("M (2016/PLOT3)",D23)))</formula>
    </cfRule>
    <cfRule type="containsText" dxfId="1865" priority="366" operator="containsText" text="M (2017)">
      <formula>NOT(ISERROR(SEARCH("M (2017)",D23)))</formula>
    </cfRule>
    <cfRule type="containsText" dxfId="1864" priority="367" operator="containsText" text="P1 (2017)">
      <formula>NOT(ISERROR(SEARCH("P1 (2017)",D23)))</formula>
    </cfRule>
  </conditionalFormatting>
  <conditionalFormatting sqref="D25">
    <cfRule type="expression" dxfId="1863" priority="360">
      <formula>"P7 (2016)"</formula>
    </cfRule>
  </conditionalFormatting>
  <conditionalFormatting sqref="D25">
    <cfRule type="containsText" dxfId="1862" priority="353" operator="containsText" text="P7 (2016)">
      <formula>NOT(ISERROR(SEARCH("P7 (2016)",D25)))</formula>
    </cfRule>
    <cfRule type="containsText" dxfId="1861" priority="354" operator="containsText" text="NP">
      <formula>NOT(ISERROR(SEARCH("NP",D25)))</formula>
    </cfRule>
    <cfRule type="containsText" dxfId="1860" priority="355" operator="containsText" text="P7 (2015/ON HILL)">
      <formula>NOT(ISERROR(SEARCH("P7 (2015/ON HILL)",D25)))</formula>
    </cfRule>
    <cfRule type="containsText" dxfId="1859" priority="356" operator="containsText" text="M (2015/NURSERY)">
      <formula>NOT(ISERROR(SEARCH("M (2015/NURSERY)",D25)))</formula>
    </cfRule>
    <cfRule type="containsText" dxfId="1858" priority="357" operator="containsText" text="M (2016/PLOT3)">
      <formula>NOT(ISERROR(SEARCH("M (2016/PLOT3)",D25)))</formula>
    </cfRule>
    <cfRule type="containsText" dxfId="1857" priority="358" operator="containsText" text="M (2017)">
      <formula>NOT(ISERROR(SEARCH("M (2017)",D25)))</formula>
    </cfRule>
    <cfRule type="containsText" dxfId="1856" priority="359" operator="containsText" text="P1 (2017)">
      <formula>NOT(ISERROR(SEARCH("P1 (2017)",D25)))</formula>
    </cfRule>
  </conditionalFormatting>
  <conditionalFormatting sqref="D26">
    <cfRule type="expression" dxfId="1855" priority="352">
      <formula>"P7 (2016)"</formula>
    </cfRule>
  </conditionalFormatting>
  <conditionalFormatting sqref="D26">
    <cfRule type="containsText" dxfId="1854" priority="345" operator="containsText" text="P7 (2016)">
      <formula>NOT(ISERROR(SEARCH("P7 (2016)",D26)))</formula>
    </cfRule>
    <cfRule type="containsText" dxfId="1853" priority="346" operator="containsText" text="NP">
      <formula>NOT(ISERROR(SEARCH("NP",D26)))</formula>
    </cfRule>
    <cfRule type="containsText" dxfId="1852" priority="347" operator="containsText" text="P7 (2015/ON HILL)">
      <formula>NOT(ISERROR(SEARCH("P7 (2015/ON HILL)",D26)))</formula>
    </cfRule>
    <cfRule type="containsText" dxfId="1851" priority="348" operator="containsText" text="M (2015/NURSERY)">
      <formula>NOT(ISERROR(SEARCH("M (2015/NURSERY)",D26)))</formula>
    </cfRule>
    <cfRule type="containsText" dxfId="1850" priority="349" operator="containsText" text="M (2016/PLOT3)">
      <formula>NOT(ISERROR(SEARCH("M (2016/PLOT3)",D26)))</formula>
    </cfRule>
    <cfRule type="containsText" dxfId="1849" priority="350" operator="containsText" text="M (2017)">
      <formula>NOT(ISERROR(SEARCH("M (2017)",D26)))</formula>
    </cfRule>
    <cfRule type="containsText" dxfId="1848" priority="351" operator="containsText" text="P1 (2017)">
      <formula>NOT(ISERROR(SEARCH("P1 (2017)",D26)))</formula>
    </cfRule>
  </conditionalFormatting>
  <conditionalFormatting sqref="D27:D29">
    <cfRule type="expression" dxfId="1847" priority="344">
      <formula>"P7 (2016)"</formula>
    </cfRule>
  </conditionalFormatting>
  <conditionalFormatting sqref="D27:D29">
    <cfRule type="containsText" dxfId="1846" priority="337" operator="containsText" text="P7 (2016)">
      <formula>NOT(ISERROR(SEARCH("P7 (2016)",D27)))</formula>
    </cfRule>
    <cfRule type="containsText" dxfId="1845" priority="338" operator="containsText" text="NP">
      <formula>NOT(ISERROR(SEARCH("NP",D27)))</formula>
    </cfRule>
    <cfRule type="containsText" dxfId="1844" priority="339" operator="containsText" text="P7 (2015/ON HILL)">
      <formula>NOT(ISERROR(SEARCH("P7 (2015/ON HILL)",D27)))</formula>
    </cfRule>
    <cfRule type="containsText" dxfId="1843" priority="340" operator="containsText" text="M (2015/NURSERY)">
      <formula>NOT(ISERROR(SEARCH("M (2015/NURSERY)",D27)))</formula>
    </cfRule>
    <cfRule type="containsText" dxfId="1842" priority="341" operator="containsText" text="M (2016/PLOT3)">
      <formula>NOT(ISERROR(SEARCH("M (2016/PLOT3)",D27)))</formula>
    </cfRule>
    <cfRule type="containsText" dxfId="1841" priority="342" operator="containsText" text="M (2017)">
      <formula>NOT(ISERROR(SEARCH("M (2017)",D27)))</formula>
    </cfRule>
    <cfRule type="containsText" dxfId="1840" priority="343" operator="containsText" text="P1 (2017)">
      <formula>NOT(ISERROR(SEARCH("P1 (2017)",D27)))</formula>
    </cfRule>
  </conditionalFormatting>
  <conditionalFormatting sqref="D30:D31">
    <cfRule type="expression" dxfId="1839" priority="336">
      <formula>"P7 (2016)"</formula>
    </cfRule>
  </conditionalFormatting>
  <conditionalFormatting sqref="D30:D31">
    <cfRule type="containsText" dxfId="1838" priority="329" operator="containsText" text="P7 (2016)">
      <formula>NOT(ISERROR(SEARCH("P7 (2016)",D30)))</formula>
    </cfRule>
    <cfRule type="containsText" dxfId="1837" priority="330" operator="containsText" text="NP">
      <formula>NOT(ISERROR(SEARCH("NP",D30)))</formula>
    </cfRule>
    <cfRule type="containsText" dxfId="1836" priority="331" operator="containsText" text="P7 (2015/ON HILL)">
      <formula>NOT(ISERROR(SEARCH("P7 (2015/ON HILL)",D30)))</formula>
    </cfRule>
    <cfRule type="containsText" dxfId="1835" priority="332" operator="containsText" text="M (2015/NURSERY)">
      <formula>NOT(ISERROR(SEARCH("M (2015/NURSERY)",D30)))</formula>
    </cfRule>
    <cfRule type="containsText" dxfId="1834" priority="333" operator="containsText" text="M (2016/PLOT3)">
      <formula>NOT(ISERROR(SEARCH("M (2016/PLOT3)",D30)))</formula>
    </cfRule>
    <cfRule type="containsText" dxfId="1833" priority="334" operator="containsText" text="M (2017)">
      <formula>NOT(ISERROR(SEARCH("M (2017)",D30)))</formula>
    </cfRule>
    <cfRule type="containsText" dxfId="1832" priority="335" operator="containsText" text="P1 (2017)">
      <formula>NOT(ISERROR(SEARCH("P1 (2017)",D30)))</formula>
    </cfRule>
  </conditionalFormatting>
  <conditionalFormatting sqref="D32">
    <cfRule type="expression" dxfId="1831" priority="328">
      <formula>"P7 (2016)"</formula>
    </cfRule>
  </conditionalFormatting>
  <conditionalFormatting sqref="D32">
    <cfRule type="containsText" dxfId="1830" priority="321" operator="containsText" text="P7 (2016)">
      <formula>NOT(ISERROR(SEARCH("P7 (2016)",D32)))</formula>
    </cfRule>
    <cfRule type="containsText" dxfId="1829" priority="322" operator="containsText" text="NP">
      <formula>NOT(ISERROR(SEARCH("NP",D32)))</formula>
    </cfRule>
    <cfRule type="containsText" dxfId="1828" priority="323" operator="containsText" text="P7 (2015/ON HILL)">
      <formula>NOT(ISERROR(SEARCH("P7 (2015/ON HILL)",D32)))</formula>
    </cfRule>
    <cfRule type="containsText" dxfId="1827" priority="324" operator="containsText" text="M (2015/NURSERY)">
      <formula>NOT(ISERROR(SEARCH("M (2015/NURSERY)",D32)))</formula>
    </cfRule>
    <cfRule type="containsText" dxfId="1826" priority="325" operator="containsText" text="M (2016/PLOT3)">
      <formula>NOT(ISERROR(SEARCH("M (2016/PLOT3)",D32)))</formula>
    </cfRule>
    <cfRule type="containsText" dxfId="1825" priority="326" operator="containsText" text="M (2017)">
      <formula>NOT(ISERROR(SEARCH("M (2017)",D32)))</formula>
    </cfRule>
    <cfRule type="containsText" dxfId="1824" priority="327" operator="containsText" text="P1 (2017)">
      <formula>NOT(ISERROR(SEARCH("P1 (2017)",D32)))</formula>
    </cfRule>
  </conditionalFormatting>
  <conditionalFormatting sqref="D33">
    <cfRule type="expression" dxfId="1823" priority="320">
      <formula>"P7 (2016)"</formula>
    </cfRule>
  </conditionalFormatting>
  <conditionalFormatting sqref="D33">
    <cfRule type="containsText" dxfId="1822" priority="313" operator="containsText" text="P7 (2016)">
      <formula>NOT(ISERROR(SEARCH("P7 (2016)",D33)))</formula>
    </cfRule>
    <cfRule type="containsText" dxfId="1821" priority="314" operator="containsText" text="NP">
      <formula>NOT(ISERROR(SEARCH("NP",D33)))</formula>
    </cfRule>
    <cfRule type="containsText" dxfId="1820" priority="315" operator="containsText" text="P7 (2015/ON HILL)">
      <formula>NOT(ISERROR(SEARCH("P7 (2015/ON HILL)",D33)))</formula>
    </cfRule>
    <cfRule type="containsText" dxfId="1819" priority="316" operator="containsText" text="M (2015/NURSERY)">
      <formula>NOT(ISERROR(SEARCH("M (2015/NURSERY)",D33)))</formula>
    </cfRule>
    <cfRule type="containsText" dxfId="1818" priority="317" operator="containsText" text="M (2016/PLOT3)">
      <formula>NOT(ISERROR(SEARCH("M (2016/PLOT3)",D33)))</formula>
    </cfRule>
    <cfRule type="containsText" dxfId="1817" priority="318" operator="containsText" text="M (2017)">
      <formula>NOT(ISERROR(SEARCH("M (2017)",D33)))</formula>
    </cfRule>
    <cfRule type="containsText" dxfId="1816" priority="319" operator="containsText" text="P1 (2017)">
      <formula>NOT(ISERROR(SEARCH("P1 (2017)",D33)))</formula>
    </cfRule>
  </conditionalFormatting>
  <conditionalFormatting sqref="D68">
    <cfRule type="expression" dxfId="1815" priority="312">
      <formula>"P7 (2016)"</formula>
    </cfRule>
  </conditionalFormatting>
  <conditionalFormatting sqref="D68">
    <cfRule type="containsText" dxfId="1814" priority="305" operator="containsText" text="P7 (2016)">
      <formula>NOT(ISERROR(SEARCH("P7 (2016)",D68)))</formula>
    </cfRule>
    <cfRule type="containsText" dxfId="1813" priority="306" operator="containsText" text="NP">
      <formula>NOT(ISERROR(SEARCH("NP",D68)))</formula>
    </cfRule>
    <cfRule type="containsText" dxfId="1812" priority="307" operator="containsText" text="P7 (2015/ON HILL)">
      <formula>NOT(ISERROR(SEARCH("P7 (2015/ON HILL)",D68)))</formula>
    </cfRule>
    <cfRule type="containsText" dxfId="1811" priority="308" operator="containsText" text="M (2015/NURSERY)">
      <formula>NOT(ISERROR(SEARCH("M (2015/NURSERY)",D68)))</formula>
    </cfRule>
    <cfRule type="containsText" dxfId="1810" priority="309" operator="containsText" text="M (2016/PLOT3)">
      <formula>NOT(ISERROR(SEARCH("M (2016/PLOT3)",D68)))</formula>
    </cfRule>
    <cfRule type="containsText" dxfId="1809" priority="310" operator="containsText" text="M (2017)">
      <formula>NOT(ISERROR(SEARCH("M (2017)",D68)))</formula>
    </cfRule>
    <cfRule type="containsText" dxfId="1808" priority="311" operator="containsText" text="P1 (2017)">
      <formula>NOT(ISERROR(SEARCH("P1 (2017)",D68)))</formula>
    </cfRule>
  </conditionalFormatting>
  <conditionalFormatting sqref="D67">
    <cfRule type="expression" dxfId="1807" priority="304">
      <formula>"P7 (2016)"</formula>
    </cfRule>
  </conditionalFormatting>
  <conditionalFormatting sqref="D67">
    <cfRule type="containsText" dxfId="1806" priority="297" operator="containsText" text="P7 (2016)">
      <formula>NOT(ISERROR(SEARCH("P7 (2016)",D67)))</formula>
    </cfRule>
    <cfRule type="containsText" dxfId="1805" priority="298" operator="containsText" text="NP">
      <formula>NOT(ISERROR(SEARCH("NP",D67)))</formula>
    </cfRule>
    <cfRule type="containsText" dxfId="1804" priority="299" operator="containsText" text="P7 (2015/ON HILL)">
      <formula>NOT(ISERROR(SEARCH("P7 (2015/ON HILL)",D67)))</formula>
    </cfRule>
    <cfRule type="containsText" dxfId="1803" priority="300" operator="containsText" text="M (2015/NURSERY)">
      <formula>NOT(ISERROR(SEARCH("M (2015/NURSERY)",D67)))</formula>
    </cfRule>
    <cfRule type="containsText" dxfId="1802" priority="301" operator="containsText" text="M (2016/PLOT3)">
      <formula>NOT(ISERROR(SEARCH("M (2016/PLOT3)",D67)))</formula>
    </cfRule>
    <cfRule type="containsText" dxfId="1801" priority="302" operator="containsText" text="M (2017)">
      <formula>NOT(ISERROR(SEARCH("M (2017)",D67)))</formula>
    </cfRule>
    <cfRule type="containsText" dxfId="1800" priority="303" operator="containsText" text="P1 (2017)">
      <formula>NOT(ISERROR(SEARCH("P1 (2017)",D67)))</formula>
    </cfRule>
  </conditionalFormatting>
  <conditionalFormatting sqref="D69">
    <cfRule type="expression" dxfId="1799" priority="296">
      <formula>"P7 (2016)"</formula>
    </cfRule>
  </conditionalFormatting>
  <conditionalFormatting sqref="D69">
    <cfRule type="containsText" dxfId="1798" priority="289" operator="containsText" text="P7 (2016)">
      <formula>NOT(ISERROR(SEARCH("P7 (2016)",D69)))</formula>
    </cfRule>
    <cfRule type="containsText" dxfId="1797" priority="290" operator="containsText" text="NP">
      <formula>NOT(ISERROR(SEARCH("NP",D69)))</formula>
    </cfRule>
    <cfRule type="containsText" dxfId="1796" priority="291" operator="containsText" text="P7 (2015/ON HILL)">
      <formula>NOT(ISERROR(SEARCH("P7 (2015/ON HILL)",D69)))</formula>
    </cfRule>
    <cfRule type="containsText" dxfId="1795" priority="292" operator="containsText" text="M (2015/NURSERY)">
      <formula>NOT(ISERROR(SEARCH("M (2015/NURSERY)",D69)))</formula>
    </cfRule>
    <cfRule type="containsText" dxfId="1794" priority="293" operator="containsText" text="M (2016/PLOT3)">
      <formula>NOT(ISERROR(SEARCH("M (2016/PLOT3)",D69)))</formula>
    </cfRule>
    <cfRule type="containsText" dxfId="1793" priority="294" operator="containsText" text="M (2017)">
      <formula>NOT(ISERROR(SEARCH("M (2017)",D69)))</formula>
    </cfRule>
    <cfRule type="containsText" dxfId="1792" priority="295" operator="containsText" text="P1 (2017)">
      <formula>NOT(ISERROR(SEARCH("P1 (2017)",D69)))</formula>
    </cfRule>
  </conditionalFormatting>
  <conditionalFormatting sqref="D70">
    <cfRule type="expression" dxfId="1791" priority="288">
      <formula>"P7 (2016)"</formula>
    </cfRule>
  </conditionalFormatting>
  <conditionalFormatting sqref="D70">
    <cfRule type="containsText" dxfId="1790" priority="281" operator="containsText" text="P7 (2016)">
      <formula>NOT(ISERROR(SEARCH("P7 (2016)",D70)))</formula>
    </cfRule>
    <cfRule type="containsText" dxfId="1789" priority="282" operator="containsText" text="NP">
      <formula>NOT(ISERROR(SEARCH("NP",D70)))</formula>
    </cfRule>
    <cfRule type="containsText" dxfId="1788" priority="283" operator="containsText" text="P7 (2015/ON HILL)">
      <formula>NOT(ISERROR(SEARCH("P7 (2015/ON HILL)",D70)))</formula>
    </cfRule>
    <cfRule type="containsText" dxfId="1787" priority="284" operator="containsText" text="M (2015/NURSERY)">
      <formula>NOT(ISERROR(SEARCH("M (2015/NURSERY)",D70)))</formula>
    </cfRule>
    <cfRule type="containsText" dxfId="1786" priority="285" operator="containsText" text="M (2016/PLOT3)">
      <formula>NOT(ISERROR(SEARCH("M (2016/PLOT3)",D70)))</formula>
    </cfRule>
    <cfRule type="containsText" dxfId="1785" priority="286" operator="containsText" text="M (2017)">
      <formula>NOT(ISERROR(SEARCH("M (2017)",D70)))</formula>
    </cfRule>
    <cfRule type="containsText" dxfId="1784" priority="287" operator="containsText" text="P1 (2017)">
      <formula>NOT(ISERROR(SEARCH("P1 (2017)",D70)))</formula>
    </cfRule>
  </conditionalFormatting>
  <conditionalFormatting sqref="D34:D36">
    <cfRule type="expression" dxfId="1783" priority="280">
      <formula>"P7 (2016)"</formula>
    </cfRule>
  </conditionalFormatting>
  <conditionalFormatting sqref="D34:D36">
    <cfRule type="containsText" dxfId="1782" priority="273" operator="containsText" text="P7 (2016)">
      <formula>NOT(ISERROR(SEARCH("P7 (2016)",D34)))</formula>
    </cfRule>
    <cfRule type="containsText" dxfId="1781" priority="274" operator="containsText" text="NP">
      <formula>NOT(ISERROR(SEARCH("NP",D34)))</formula>
    </cfRule>
    <cfRule type="containsText" dxfId="1780" priority="275" operator="containsText" text="P7 (2015/ON HILL)">
      <formula>NOT(ISERROR(SEARCH("P7 (2015/ON HILL)",D34)))</formula>
    </cfRule>
    <cfRule type="containsText" dxfId="1779" priority="276" operator="containsText" text="M (2015/NURSERY)">
      <formula>NOT(ISERROR(SEARCH("M (2015/NURSERY)",D34)))</formula>
    </cfRule>
    <cfRule type="containsText" dxfId="1778" priority="277" operator="containsText" text="M (2016/PLOT3)">
      <formula>NOT(ISERROR(SEARCH("M (2016/PLOT3)",D34)))</formula>
    </cfRule>
    <cfRule type="containsText" dxfId="1777" priority="278" operator="containsText" text="M (2017)">
      <formula>NOT(ISERROR(SEARCH("M (2017)",D34)))</formula>
    </cfRule>
    <cfRule type="containsText" dxfId="1776" priority="279" operator="containsText" text="P1 (2017)">
      <formula>NOT(ISERROR(SEARCH("P1 (2017)",D34)))</formula>
    </cfRule>
  </conditionalFormatting>
  <conditionalFormatting sqref="D37">
    <cfRule type="expression" dxfId="1775" priority="272">
      <formula>"P7 (2016)"</formula>
    </cfRule>
  </conditionalFormatting>
  <conditionalFormatting sqref="D37">
    <cfRule type="containsText" dxfId="1774" priority="265" operator="containsText" text="P7 (2016)">
      <formula>NOT(ISERROR(SEARCH("P7 (2016)",D37)))</formula>
    </cfRule>
    <cfRule type="containsText" dxfId="1773" priority="266" operator="containsText" text="NP">
      <formula>NOT(ISERROR(SEARCH("NP",D37)))</formula>
    </cfRule>
    <cfRule type="containsText" dxfId="1772" priority="267" operator="containsText" text="P7 (2015/ON HILL)">
      <formula>NOT(ISERROR(SEARCH("P7 (2015/ON HILL)",D37)))</formula>
    </cfRule>
    <cfRule type="containsText" dxfId="1771" priority="268" operator="containsText" text="M (2015/NURSERY)">
      <formula>NOT(ISERROR(SEARCH("M (2015/NURSERY)",D37)))</formula>
    </cfRule>
    <cfRule type="containsText" dxfId="1770" priority="269" operator="containsText" text="M (2016/PLOT3)">
      <formula>NOT(ISERROR(SEARCH("M (2016/PLOT3)",D37)))</formula>
    </cfRule>
    <cfRule type="containsText" dxfId="1769" priority="270" operator="containsText" text="M (2017)">
      <formula>NOT(ISERROR(SEARCH("M (2017)",D37)))</formula>
    </cfRule>
    <cfRule type="containsText" dxfId="1768" priority="271" operator="containsText" text="P1 (2017)">
      <formula>NOT(ISERROR(SEARCH("P1 (2017)",D37)))</formula>
    </cfRule>
  </conditionalFormatting>
  <conditionalFormatting sqref="D38">
    <cfRule type="expression" dxfId="1767" priority="264">
      <formula>"P7 (2016)"</formula>
    </cfRule>
  </conditionalFormatting>
  <conditionalFormatting sqref="D38">
    <cfRule type="containsText" dxfId="1766" priority="257" operator="containsText" text="P7 (2016)">
      <formula>NOT(ISERROR(SEARCH("P7 (2016)",D38)))</formula>
    </cfRule>
    <cfRule type="containsText" dxfId="1765" priority="258" operator="containsText" text="NP">
      <formula>NOT(ISERROR(SEARCH("NP",D38)))</formula>
    </cfRule>
    <cfRule type="containsText" dxfId="1764" priority="259" operator="containsText" text="P7 (2015/ON HILL)">
      <formula>NOT(ISERROR(SEARCH("P7 (2015/ON HILL)",D38)))</formula>
    </cfRule>
    <cfRule type="containsText" dxfId="1763" priority="260" operator="containsText" text="M (2015/NURSERY)">
      <formula>NOT(ISERROR(SEARCH("M (2015/NURSERY)",D38)))</formula>
    </cfRule>
    <cfRule type="containsText" dxfId="1762" priority="261" operator="containsText" text="M (2016/PLOT3)">
      <formula>NOT(ISERROR(SEARCH("M (2016/PLOT3)",D38)))</formula>
    </cfRule>
    <cfRule type="containsText" dxfId="1761" priority="262" operator="containsText" text="M (2017)">
      <formula>NOT(ISERROR(SEARCH("M (2017)",D38)))</formula>
    </cfRule>
    <cfRule type="containsText" dxfId="1760" priority="263" operator="containsText" text="P1 (2017)">
      <formula>NOT(ISERROR(SEARCH("P1 (2017)",D38)))</formula>
    </cfRule>
  </conditionalFormatting>
  <conditionalFormatting sqref="D39:D41">
    <cfRule type="expression" dxfId="1759" priority="256">
      <formula>"P7 (2016)"</formula>
    </cfRule>
  </conditionalFormatting>
  <conditionalFormatting sqref="D39:D41">
    <cfRule type="containsText" dxfId="1758" priority="249" operator="containsText" text="P7 (2016)">
      <formula>NOT(ISERROR(SEARCH("P7 (2016)",D39)))</formula>
    </cfRule>
    <cfRule type="containsText" dxfId="1757" priority="250" operator="containsText" text="NP">
      <formula>NOT(ISERROR(SEARCH("NP",D39)))</formula>
    </cfRule>
    <cfRule type="containsText" dxfId="1756" priority="251" operator="containsText" text="P7 (2015/ON HILL)">
      <formula>NOT(ISERROR(SEARCH("P7 (2015/ON HILL)",D39)))</formula>
    </cfRule>
    <cfRule type="containsText" dxfId="1755" priority="252" operator="containsText" text="M (2015/NURSERY)">
      <formula>NOT(ISERROR(SEARCH("M (2015/NURSERY)",D39)))</formula>
    </cfRule>
    <cfRule type="containsText" dxfId="1754" priority="253" operator="containsText" text="M (2016/PLOT3)">
      <formula>NOT(ISERROR(SEARCH("M (2016/PLOT3)",D39)))</formula>
    </cfRule>
    <cfRule type="containsText" dxfId="1753" priority="254" operator="containsText" text="M (2017)">
      <formula>NOT(ISERROR(SEARCH("M (2017)",D39)))</formula>
    </cfRule>
    <cfRule type="containsText" dxfId="1752" priority="255" operator="containsText" text="P1 (2017)">
      <formula>NOT(ISERROR(SEARCH("P1 (2017)",D39)))</formula>
    </cfRule>
  </conditionalFormatting>
  <conditionalFormatting sqref="D43">
    <cfRule type="expression" dxfId="1751" priority="248">
      <formula>"P7 (2016)"</formula>
    </cfRule>
  </conditionalFormatting>
  <conditionalFormatting sqref="D43">
    <cfRule type="containsText" dxfId="1750" priority="241" operator="containsText" text="P7 (2016)">
      <formula>NOT(ISERROR(SEARCH("P7 (2016)",D43)))</formula>
    </cfRule>
    <cfRule type="containsText" dxfId="1749" priority="242" operator="containsText" text="NP">
      <formula>NOT(ISERROR(SEARCH("NP",D43)))</formula>
    </cfRule>
    <cfRule type="containsText" dxfId="1748" priority="243" operator="containsText" text="P7 (2015/ON HILL)">
      <formula>NOT(ISERROR(SEARCH("P7 (2015/ON HILL)",D43)))</formula>
    </cfRule>
    <cfRule type="containsText" dxfId="1747" priority="244" operator="containsText" text="M (2015/NURSERY)">
      <formula>NOT(ISERROR(SEARCH("M (2015/NURSERY)",D43)))</formula>
    </cfRule>
    <cfRule type="containsText" dxfId="1746" priority="245" operator="containsText" text="M (2016/PLOT3)">
      <formula>NOT(ISERROR(SEARCH("M (2016/PLOT3)",D43)))</formula>
    </cfRule>
    <cfRule type="containsText" dxfId="1745" priority="246" operator="containsText" text="M (2017)">
      <formula>NOT(ISERROR(SEARCH("M (2017)",D43)))</formula>
    </cfRule>
    <cfRule type="containsText" dxfId="1744" priority="247" operator="containsText" text="P1 (2017)">
      <formula>NOT(ISERROR(SEARCH("P1 (2017)",D43)))</formula>
    </cfRule>
  </conditionalFormatting>
  <conditionalFormatting sqref="D42">
    <cfRule type="expression" dxfId="1743" priority="240">
      <formula>"P7 (2016)"</formula>
    </cfRule>
  </conditionalFormatting>
  <conditionalFormatting sqref="D42">
    <cfRule type="containsText" dxfId="1742" priority="233" operator="containsText" text="P7 (2016)">
      <formula>NOT(ISERROR(SEARCH("P7 (2016)",D42)))</formula>
    </cfRule>
    <cfRule type="containsText" dxfId="1741" priority="234" operator="containsText" text="NP">
      <formula>NOT(ISERROR(SEARCH("NP",D42)))</formula>
    </cfRule>
    <cfRule type="containsText" dxfId="1740" priority="235" operator="containsText" text="P7 (2015/ON HILL)">
      <formula>NOT(ISERROR(SEARCH("P7 (2015/ON HILL)",D42)))</formula>
    </cfRule>
    <cfRule type="containsText" dxfId="1739" priority="236" operator="containsText" text="M (2015/NURSERY)">
      <formula>NOT(ISERROR(SEARCH("M (2015/NURSERY)",D42)))</formula>
    </cfRule>
    <cfRule type="containsText" dxfId="1738" priority="237" operator="containsText" text="M (2016/PLOT3)">
      <formula>NOT(ISERROR(SEARCH("M (2016/PLOT3)",D42)))</formula>
    </cfRule>
    <cfRule type="containsText" dxfId="1737" priority="238" operator="containsText" text="M (2017)">
      <formula>NOT(ISERROR(SEARCH("M (2017)",D42)))</formula>
    </cfRule>
    <cfRule type="containsText" dxfId="1736" priority="239" operator="containsText" text="P1 (2017)">
      <formula>NOT(ISERROR(SEARCH("P1 (2017)",D42)))</formula>
    </cfRule>
  </conditionalFormatting>
  <conditionalFormatting sqref="D42">
    <cfRule type="expression" dxfId="1735" priority="232">
      <formula>"P7 (2016)"</formula>
    </cfRule>
  </conditionalFormatting>
  <conditionalFormatting sqref="D42">
    <cfRule type="containsText" dxfId="1734" priority="225" operator="containsText" text="P7 (2016)">
      <formula>NOT(ISERROR(SEARCH("P7 (2016)",D42)))</formula>
    </cfRule>
    <cfRule type="containsText" dxfId="1733" priority="226" operator="containsText" text="NP">
      <formula>NOT(ISERROR(SEARCH("NP",D42)))</formula>
    </cfRule>
    <cfRule type="containsText" dxfId="1732" priority="227" operator="containsText" text="P7 (2015/ON HILL)">
      <formula>NOT(ISERROR(SEARCH("P7 (2015/ON HILL)",D42)))</formula>
    </cfRule>
    <cfRule type="containsText" dxfId="1731" priority="228" operator="containsText" text="M (2015/NURSERY)">
      <formula>NOT(ISERROR(SEARCH("M (2015/NURSERY)",D42)))</formula>
    </cfRule>
    <cfRule type="containsText" dxfId="1730" priority="229" operator="containsText" text="M (2016/PLOT3)">
      <formula>NOT(ISERROR(SEARCH("M (2016/PLOT3)",D42)))</formula>
    </cfRule>
    <cfRule type="containsText" dxfId="1729" priority="230" operator="containsText" text="M (2017)">
      <formula>NOT(ISERROR(SEARCH("M (2017)",D42)))</formula>
    </cfRule>
    <cfRule type="containsText" dxfId="1728" priority="231" operator="containsText" text="P1 (2017)">
      <formula>NOT(ISERROR(SEARCH("P1 (2017)",D42)))</formula>
    </cfRule>
  </conditionalFormatting>
  <conditionalFormatting sqref="D44:D46">
    <cfRule type="expression" dxfId="1727" priority="224">
      <formula>"P7 (2016)"</formula>
    </cfRule>
  </conditionalFormatting>
  <conditionalFormatting sqref="D44:D46">
    <cfRule type="containsText" dxfId="1726" priority="217" operator="containsText" text="P7 (2016)">
      <formula>NOT(ISERROR(SEARCH("P7 (2016)",D44)))</formula>
    </cfRule>
    <cfRule type="containsText" dxfId="1725" priority="218" operator="containsText" text="NP">
      <formula>NOT(ISERROR(SEARCH("NP",D44)))</formula>
    </cfRule>
    <cfRule type="containsText" dxfId="1724" priority="219" operator="containsText" text="P7 (2015/ON HILL)">
      <formula>NOT(ISERROR(SEARCH("P7 (2015/ON HILL)",D44)))</formula>
    </cfRule>
    <cfRule type="containsText" dxfId="1723" priority="220" operator="containsText" text="M (2015/NURSERY)">
      <formula>NOT(ISERROR(SEARCH("M (2015/NURSERY)",D44)))</formula>
    </cfRule>
    <cfRule type="containsText" dxfId="1722" priority="221" operator="containsText" text="M (2016/PLOT3)">
      <formula>NOT(ISERROR(SEARCH("M (2016/PLOT3)",D44)))</formula>
    </cfRule>
    <cfRule type="containsText" dxfId="1721" priority="222" operator="containsText" text="M (2017)">
      <formula>NOT(ISERROR(SEARCH("M (2017)",D44)))</formula>
    </cfRule>
    <cfRule type="containsText" dxfId="1720" priority="223" operator="containsText" text="P1 (2017)">
      <formula>NOT(ISERROR(SEARCH("P1 (2017)",D44)))</formula>
    </cfRule>
  </conditionalFormatting>
  <conditionalFormatting sqref="D59:D60">
    <cfRule type="containsText" dxfId="1719" priority="1" operator="containsText" text="P7 (2016)">
      <formula>NOT(ISERROR(SEARCH("P7 (2016)",D59)))</formula>
    </cfRule>
    <cfRule type="containsText" dxfId="1718" priority="2" operator="containsText" text="NP">
      <formula>NOT(ISERROR(SEARCH("NP",D59)))</formula>
    </cfRule>
    <cfRule type="containsText" dxfId="1717" priority="3" operator="containsText" text="P7 (2015/ON HILL)">
      <formula>NOT(ISERROR(SEARCH("P7 (2015/ON HILL)",D59)))</formula>
    </cfRule>
    <cfRule type="containsText" dxfId="1716" priority="4" operator="containsText" text="M (2015/NURSERY)">
      <formula>NOT(ISERROR(SEARCH("M (2015/NURSERY)",D59)))</formula>
    </cfRule>
    <cfRule type="containsText" dxfId="1715" priority="5" operator="containsText" text="M (2016/PLOT3)">
      <formula>NOT(ISERROR(SEARCH("M (2016/PLOT3)",D59)))</formula>
    </cfRule>
    <cfRule type="containsText" dxfId="1714" priority="6" operator="containsText" text="M (2017)">
      <formula>NOT(ISERROR(SEARCH("M (2017)",D59)))</formula>
    </cfRule>
    <cfRule type="containsText" dxfId="1713" priority="7" operator="containsText" text="P1 (2017)">
      <formula>NOT(ISERROR(SEARCH("P1 (2017)",D59)))</formula>
    </cfRule>
  </conditionalFormatting>
  <conditionalFormatting sqref="D47">
    <cfRule type="expression" dxfId="1712" priority="216">
      <formula>"P7 (2016)"</formula>
    </cfRule>
  </conditionalFormatting>
  <conditionalFormatting sqref="D47">
    <cfRule type="containsText" dxfId="1711" priority="209" operator="containsText" text="P7 (2016)">
      <formula>NOT(ISERROR(SEARCH("P7 (2016)",D47)))</formula>
    </cfRule>
    <cfRule type="containsText" dxfId="1710" priority="210" operator="containsText" text="NP">
      <formula>NOT(ISERROR(SEARCH("NP",D47)))</formula>
    </cfRule>
    <cfRule type="containsText" dxfId="1709" priority="211" operator="containsText" text="P7 (2015/ON HILL)">
      <formula>NOT(ISERROR(SEARCH("P7 (2015/ON HILL)",D47)))</formula>
    </cfRule>
    <cfRule type="containsText" dxfId="1708" priority="212" operator="containsText" text="M (2015/NURSERY)">
      <formula>NOT(ISERROR(SEARCH("M (2015/NURSERY)",D47)))</formula>
    </cfRule>
    <cfRule type="containsText" dxfId="1707" priority="213" operator="containsText" text="M (2016/PLOT3)">
      <formula>NOT(ISERROR(SEARCH("M (2016/PLOT3)",D47)))</formula>
    </cfRule>
    <cfRule type="containsText" dxfId="1706" priority="214" operator="containsText" text="M (2017)">
      <formula>NOT(ISERROR(SEARCH("M (2017)",D47)))</formula>
    </cfRule>
    <cfRule type="containsText" dxfId="1705" priority="215" operator="containsText" text="P1 (2017)">
      <formula>NOT(ISERROR(SEARCH("P1 (2017)",D47)))</formula>
    </cfRule>
  </conditionalFormatting>
  <conditionalFormatting sqref="D72">
    <cfRule type="expression" dxfId="1704" priority="208">
      <formula>"P7 (2016)"</formula>
    </cfRule>
  </conditionalFormatting>
  <conditionalFormatting sqref="D72">
    <cfRule type="containsText" dxfId="1703" priority="201" operator="containsText" text="P7 (2016)">
      <formula>NOT(ISERROR(SEARCH("P7 (2016)",D72)))</formula>
    </cfRule>
    <cfRule type="containsText" dxfId="1702" priority="202" operator="containsText" text="NP">
      <formula>NOT(ISERROR(SEARCH("NP",D72)))</formula>
    </cfRule>
    <cfRule type="containsText" dxfId="1701" priority="203" operator="containsText" text="P7 (2015/ON HILL)">
      <formula>NOT(ISERROR(SEARCH("P7 (2015/ON HILL)",D72)))</formula>
    </cfRule>
    <cfRule type="containsText" dxfId="1700" priority="204" operator="containsText" text="M (2015/NURSERY)">
      <formula>NOT(ISERROR(SEARCH("M (2015/NURSERY)",D72)))</formula>
    </cfRule>
    <cfRule type="containsText" dxfId="1699" priority="205" operator="containsText" text="M (2016/PLOT3)">
      <formula>NOT(ISERROR(SEARCH("M (2016/PLOT3)",D72)))</formula>
    </cfRule>
    <cfRule type="containsText" dxfId="1698" priority="206" operator="containsText" text="M (2017)">
      <formula>NOT(ISERROR(SEARCH("M (2017)",D72)))</formula>
    </cfRule>
    <cfRule type="containsText" dxfId="1697" priority="207" operator="containsText" text="P1 (2017)">
      <formula>NOT(ISERROR(SEARCH("P1 (2017)",D72)))</formula>
    </cfRule>
  </conditionalFormatting>
  <conditionalFormatting sqref="D73">
    <cfRule type="expression" dxfId="1696" priority="200">
      <formula>"P7 (2016)"</formula>
    </cfRule>
  </conditionalFormatting>
  <conditionalFormatting sqref="D73">
    <cfRule type="containsText" dxfId="1695" priority="193" operator="containsText" text="P7 (2016)">
      <formula>NOT(ISERROR(SEARCH("P7 (2016)",D73)))</formula>
    </cfRule>
    <cfRule type="containsText" dxfId="1694" priority="194" operator="containsText" text="NP">
      <formula>NOT(ISERROR(SEARCH("NP",D73)))</formula>
    </cfRule>
    <cfRule type="containsText" dxfId="1693" priority="195" operator="containsText" text="P7 (2015/ON HILL)">
      <formula>NOT(ISERROR(SEARCH("P7 (2015/ON HILL)",D73)))</formula>
    </cfRule>
    <cfRule type="containsText" dxfId="1692" priority="196" operator="containsText" text="M (2015/NURSERY)">
      <formula>NOT(ISERROR(SEARCH("M (2015/NURSERY)",D73)))</formula>
    </cfRule>
    <cfRule type="containsText" dxfId="1691" priority="197" operator="containsText" text="M (2016/PLOT3)">
      <formula>NOT(ISERROR(SEARCH("M (2016/PLOT3)",D73)))</formula>
    </cfRule>
    <cfRule type="containsText" dxfId="1690" priority="198" operator="containsText" text="M (2017)">
      <formula>NOT(ISERROR(SEARCH("M (2017)",D73)))</formula>
    </cfRule>
    <cfRule type="containsText" dxfId="1689" priority="199" operator="containsText" text="P1 (2017)">
      <formula>NOT(ISERROR(SEARCH("P1 (2017)",D73)))</formula>
    </cfRule>
  </conditionalFormatting>
  <conditionalFormatting sqref="D48">
    <cfRule type="expression" dxfId="1688" priority="192">
      <formula>"P7 (2016)"</formula>
    </cfRule>
  </conditionalFormatting>
  <conditionalFormatting sqref="D48">
    <cfRule type="containsText" dxfId="1687" priority="185" operator="containsText" text="P7 (2016)">
      <formula>NOT(ISERROR(SEARCH("P7 (2016)",D48)))</formula>
    </cfRule>
    <cfRule type="containsText" dxfId="1686" priority="186" operator="containsText" text="NP">
      <formula>NOT(ISERROR(SEARCH("NP",D48)))</formula>
    </cfRule>
    <cfRule type="containsText" dxfId="1685" priority="187" operator="containsText" text="P7 (2015/ON HILL)">
      <formula>NOT(ISERROR(SEARCH("P7 (2015/ON HILL)",D48)))</formula>
    </cfRule>
    <cfRule type="containsText" dxfId="1684" priority="188" operator="containsText" text="M (2015/NURSERY)">
      <formula>NOT(ISERROR(SEARCH("M (2015/NURSERY)",D48)))</formula>
    </cfRule>
    <cfRule type="containsText" dxfId="1683" priority="189" operator="containsText" text="M (2016/PLOT3)">
      <formula>NOT(ISERROR(SEARCH("M (2016/PLOT3)",D48)))</formula>
    </cfRule>
    <cfRule type="containsText" dxfId="1682" priority="190" operator="containsText" text="M (2017)">
      <formula>NOT(ISERROR(SEARCH("M (2017)",D48)))</formula>
    </cfRule>
    <cfRule type="containsText" dxfId="1681" priority="191" operator="containsText" text="P1 (2017)">
      <formula>NOT(ISERROR(SEARCH("P1 (2017)",D48)))</formula>
    </cfRule>
  </conditionalFormatting>
  <conditionalFormatting sqref="D48">
    <cfRule type="expression" dxfId="1680" priority="184">
      <formula>"P7 (2016)"</formula>
    </cfRule>
  </conditionalFormatting>
  <conditionalFormatting sqref="D48">
    <cfRule type="containsText" dxfId="1679" priority="177" operator="containsText" text="P7 (2016)">
      <formula>NOT(ISERROR(SEARCH("P7 (2016)",D48)))</formula>
    </cfRule>
    <cfRule type="containsText" dxfId="1678" priority="178" operator="containsText" text="NP">
      <formula>NOT(ISERROR(SEARCH("NP",D48)))</formula>
    </cfRule>
    <cfRule type="containsText" dxfId="1677" priority="179" operator="containsText" text="P7 (2015/ON HILL)">
      <formula>NOT(ISERROR(SEARCH("P7 (2015/ON HILL)",D48)))</formula>
    </cfRule>
    <cfRule type="containsText" dxfId="1676" priority="180" operator="containsText" text="M (2015/NURSERY)">
      <formula>NOT(ISERROR(SEARCH("M (2015/NURSERY)",D48)))</formula>
    </cfRule>
    <cfRule type="containsText" dxfId="1675" priority="181" operator="containsText" text="M (2016/PLOT3)">
      <formula>NOT(ISERROR(SEARCH("M (2016/PLOT3)",D48)))</formula>
    </cfRule>
    <cfRule type="containsText" dxfId="1674" priority="182" operator="containsText" text="M (2017)">
      <formula>NOT(ISERROR(SEARCH("M (2017)",D48)))</formula>
    </cfRule>
    <cfRule type="containsText" dxfId="1673" priority="183" operator="containsText" text="P1 (2017)">
      <formula>NOT(ISERROR(SEARCH("P1 (2017)",D48)))</formula>
    </cfRule>
  </conditionalFormatting>
  <conditionalFormatting sqref="D74">
    <cfRule type="expression" dxfId="1672" priority="176">
      <formula>"P7 (2016)"</formula>
    </cfRule>
  </conditionalFormatting>
  <conditionalFormatting sqref="D74">
    <cfRule type="containsText" dxfId="1671" priority="169" operator="containsText" text="P7 (2016)">
      <formula>NOT(ISERROR(SEARCH("P7 (2016)",D74)))</formula>
    </cfRule>
    <cfRule type="containsText" dxfId="1670" priority="170" operator="containsText" text="NP">
      <formula>NOT(ISERROR(SEARCH("NP",D74)))</formula>
    </cfRule>
    <cfRule type="containsText" dxfId="1669" priority="171" operator="containsText" text="P7 (2015/ON HILL)">
      <formula>NOT(ISERROR(SEARCH("P7 (2015/ON HILL)",D74)))</formula>
    </cfRule>
    <cfRule type="containsText" dxfId="1668" priority="172" operator="containsText" text="M (2015/NURSERY)">
      <formula>NOT(ISERROR(SEARCH("M (2015/NURSERY)",D74)))</formula>
    </cfRule>
    <cfRule type="containsText" dxfId="1667" priority="173" operator="containsText" text="M (2016/PLOT3)">
      <formula>NOT(ISERROR(SEARCH("M (2016/PLOT3)",D74)))</formula>
    </cfRule>
    <cfRule type="containsText" dxfId="1666" priority="174" operator="containsText" text="M (2017)">
      <formula>NOT(ISERROR(SEARCH("M (2017)",D74)))</formula>
    </cfRule>
    <cfRule type="containsText" dxfId="1665" priority="175" operator="containsText" text="P1 (2017)">
      <formula>NOT(ISERROR(SEARCH("P1 (2017)",D74)))</formula>
    </cfRule>
  </conditionalFormatting>
  <conditionalFormatting sqref="D74">
    <cfRule type="expression" dxfId="1664" priority="168">
      <formula>"P7 (2016)"</formula>
    </cfRule>
  </conditionalFormatting>
  <conditionalFormatting sqref="D74">
    <cfRule type="containsText" dxfId="1663" priority="161" operator="containsText" text="P7 (2016)">
      <formula>NOT(ISERROR(SEARCH("P7 (2016)",D74)))</formula>
    </cfRule>
    <cfRule type="containsText" dxfId="1662" priority="162" operator="containsText" text="NP">
      <formula>NOT(ISERROR(SEARCH("NP",D74)))</formula>
    </cfRule>
    <cfRule type="containsText" dxfId="1661" priority="163" operator="containsText" text="P7 (2015/ON HILL)">
      <formula>NOT(ISERROR(SEARCH("P7 (2015/ON HILL)",D74)))</formula>
    </cfRule>
    <cfRule type="containsText" dxfId="1660" priority="164" operator="containsText" text="M (2015/NURSERY)">
      <formula>NOT(ISERROR(SEARCH("M (2015/NURSERY)",D74)))</formula>
    </cfRule>
    <cfRule type="containsText" dxfId="1659" priority="165" operator="containsText" text="M (2016/PLOT3)">
      <formula>NOT(ISERROR(SEARCH("M (2016/PLOT3)",D74)))</formula>
    </cfRule>
    <cfRule type="containsText" dxfId="1658" priority="166" operator="containsText" text="M (2017)">
      <formula>NOT(ISERROR(SEARCH("M (2017)",D74)))</formula>
    </cfRule>
    <cfRule type="containsText" dxfId="1657" priority="167" operator="containsText" text="P1 (2017)">
      <formula>NOT(ISERROR(SEARCH("P1 (2017)",D74)))</formula>
    </cfRule>
  </conditionalFormatting>
  <conditionalFormatting sqref="D74">
    <cfRule type="expression" dxfId="1656" priority="160">
      <formula>"P7 (2016)"</formula>
    </cfRule>
  </conditionalFormatting>
  <conditionalFormatting sqref="D74">
    <cfRule type="containsText" dxfId="1655" priority="153" operator="containsText" text="P7 (2016)">
      <formula>NOT(ISERROR(SEARCH("P7 (2016)",D74)))</formula>
    </cfRule>
    <cfRule type="containsText" dxfId="1654" priority="154" operator="containsText" text="NP">
      <formula>NOT(ISERROR(SEARCH("NP",D74)))</formula>
    </cfRule>
    <cfRule type="containsText" dxfId="1653" priority="155" operator="containsText" text="P7 (2015/ON HILL)">
      <formula>NOT(ISERROR(SEARCH("P7 (2015/ON HILL)",D74)))</formula>
    </cfRule>
    <cfRule type="containsText" dxfId="1652" priority="156" operator="containsText" text="M (2015/NURSERY)">
      <formula>NOT(ISERROR(SEARCH("M (2015/NURSERY)",D74)))</formula>
    </cfRule>
    <cfRule type="containsText" dxfId="1651" priority="157" operator="containsText" text="M (2016/PLOT3)">
      <formula>NOT(ISERROR(SEARCH("M (2016/PLOT3)",D74)))</formula>
    </cfRule>
    <cfRule type="containsText" dxfId="1650" priority="158" operator="containsText" text="M (2017)">
      <formula>NOT(ISERROR(SEARCH("M (2017)",D74)))</formula>
    </cfRule>
    <cfRule type="containsText" dxfId="1649" priority="159" operator="containsText" text="P1 (2017)">
      <formula>NOT(ISERROR(SEARCH("P1 (2017)",D74)))</formula>
    </cfRule>
  </conditionalFormatting>
  <conditionalFormatting sqref="D49">
    <cfRule type="expression" dxfId="1648" priority="152">
      <formula>"P7 (2016)"</formula>
    </cfRule>
  </conditionalFormatting>
  <conditionalFormatting sqref="D49">
    <cfRule type="containsText" dxfId="1647" priority="145" operator="containsText" text="P7 (2016)">
      <formula>NOT(ISERROR(SEARCH("P7 (2016)",D49)))</formula>
    </cfRule>
    <cfRule type="containsText" dxfId="1646" priority="146" operator="containsText" text="NP">
      <formula>NOT(ISERROR(SEARCH("NP",D49)))</formula>
    </cfRule>
    <cfRule type="containsText" dxfId="1645" priority="147" operator="containsText" text="P7 (2015/ON HILL)">
      <formula>NOT(ISERROR(SEARCH("P7 (2015/ON HILL)",D49)))</formula>
    </cfRule>
    <cfRule type="containsText" dxfId="1644" priority="148" operator="containsText" text="M (2015/NURSERY)">
      <formula>NOT(ISERROR(SEARCH("M (2015/NURSERY)",D49)))</formula>
    </cfRule>
    <cfRule type="containsText" dxfId="1643" priority="149" operator="containsText" text="M (2016/PLOT3)">
      <formula>NOT(ISERROR(SEARCH("M (2016/PLOT3)",D49)))</formula>
    </cfRule>
    <cfRule type="containsText" dxfId="1642" priority="150" operator="containsText" text="M (2017)">
      <formula>NOT(ISERROR(SEARCH("M (2017)",D49)))</formula>
    </cfRule>
    <cfRule type="containsText" dxfId="1641" priority="151" operator="containsText" text="P1 (2017)">
      <formula>NOT(ISERROR(SEARCH("P1 (2017)",D49)))</formula>
    </cfRule>
  </conditionalFormatting>
  <conditionalFormatting sqref="D50">
    <cfRule type="expression" dxfId="1640" priority="144">
      <formula>"P7 (2016)"</formula>
    </cfRule>
  </conditionalFormatting>
  <conditionalFormatting sqref="D50">
    <cfRule type="containsText" dxfId="1639" priority="137" operator="containsText" text="P7 (2016)">
      <formula>NOT(ISERROR(SEARCH("P7 (2016)",D50)))</formula>
    </cfRule>
    <cfRule type="containsText" dxfId="1638" priority="138" operator="containsText" text="NP">
      <formula>NOT(ISERROR(SEARCH("NP",D50)))</formula>
    </cfRule>
    <cfRule type="containsText" dxfId="1637" priority="139" operator="containsText" text="P7 (2015/ON HILL)">
      <formula>NOT(ISERROR(SEARCH("P7 (2015/ON HILL)",D50)))</formula>
    </cfRule>
    <cfRule type="containsText" dxfId="1636" priority="140" operator="containsText" text="M (2015/NURSERY)">
      <formula>NOT(ISERROR(SEARCH("M (2015/NURSERY)",D50)))</formula>
    </cfRule>
    <cfRule type="containsText" dxfId="1635" priority="141" operator="containsText" text="M (2016/PLOT3)">
      <formula>NOT(ISERROR(SEARCH("M (2016/PLOT3)",D50)))</formula>
    </cfRule>
    <cfRule type="containsText" dxfId="1634" priority="142" operator="containsText" text="M (2017)">
      <formula>NOT(ISERROR(SEARCH("M (2017)",D50)))</formula>
    </cfRule>
    <cfRule type="containsText" dxfId="1633" priority="143" operator="containsText" text="P1 (2017)">
      <formula>NOT(ISERROR(SEARCH("P1 (2017)",D50)))</formula>
    </cfRule>
  </conditionalFormatting>
  <conditionalFormatting sqref="D51:D53">
    <cfRule type="expression" dxfId="1632" priority="136">
      <formula>"P7 (2016)"</formula>
    </cfRule>
  </conditionalFormatting>
  <conditionalFormatting sqref="D51:D53">
    <cfRule type="containsText" dxfId="1631" priority="129" operator="containsText" text="P7 (2016)">
      <formula>NOT(ISERROR(SEARCH("P7 (2016)",D51)))</formula>
    </cfRule>
    <cfRule type="containsText" dxfId="1630" priority="130" operator="containsText" text="NP">
      <formula>NOT(ISERROR(SEARCH("NP",D51)))</formula>
    </cfRule>
    <cfRule type="containsText" dxfId="1629" priority="131" operator="containsText" text="P7 (2015/ON HILL)">
      <formula>NOT(ISERROR(SEARCH("P7 (2015/ON HILL)",D51)))</formula>
    </cfRule>
    <cfRule type="containsText" dxfId="1628" priority="132" operator="containsText" text="M (2015/NURSERY)">
      <formula>NOT(ISERROR(SEARCH("M (2015/NURSERY)",D51)))</formula>
    </cfRule>
    <cfRule type="containsText" dxfId="1627" priority="133" operator="containsText" text="M (2016/PLOT3)">
      <formula>NOT(ISERROR(SEARCH("M (2016/PLOT3)",D51)))</formula>
    </cfRule>
    <cfRule type="containsText" dxfId="1626" priority="134" operator="containsText" text="M (2017)">
      <formula>NOT(ISERROR(SEARCH("M (2017)",D51)))</formula>
    </cfRule>
    <cfRule type="containsText" dxfId="1625" priority="135" operator="containsText" text="P1 (2017)">
      <formula>NOT(ISERROR(SEARCH("P1 (2017)",D51)))</formula>
    </cfRule>
  </conditionalFormatting>
  <conditionalFormatting sqref="D54">
    <cfRule type="expression" dxfId="1624" priority="128">
      <formula>"P7 (2016)"</formula>
    </cfRule>
  </conditionalFormatting>
  <conditionalFormatting sqref="D54">
    <cfRule type="containsText" dxfId="1623" priority="121" operator="containsText" text="P7 (2016)">
      <formula>NOT(ISERROR(SEARCH("P7 (2016)",D54)))</formula>
    </cfRule>
    <cfRule type="containsText" dxfId="1622" priority="122" operator="containsText" text="NP">
      <formula>NOT(ISERROR(SEARCH("NP",D54)))</formula>
    </cfRule>
    <cfRule type="containsText" dxfId="1621" priority="123" operator="containsText" text="P7 (2015/ON HILL)">
      <formula>NOT(ISERROR(SEARCH("P7 (2015/ON HILL)",D54)))</formula>
    </cfRule>
    <cfRule type="containsText" dxfId="1620" priority="124" operator="containsText" text="M (2015/NURSERY)">
      <formula>NOT(ISERROR(SEARCH("M (2015/NURSERY)",D54)))</formula>
    </cfRule>
    <cfRule type="containsText" dxfId="1619" priority="125" operator="containsText" text="M (2016/PLOT3)">
      <formula>NOT(ISERROR(SEARCH("M (2016/PLOT3)",D54)))</formula>
    </cfRule>
    <cfRule type="containsText" dxfId="1618" priority="126" operator="containsText" text="M (2017)">
      <formula>NOT(ISERROR(SEARCH("M (2017)",D54)))</formula>
    </cfRule>
    <cfRule type="containsText" dxfId="1617" priority="127" operator="containsText" text="P1 (2017)">
      <formula>NOT(ISERROR(SEARCH("P1 (2017)",D54)))</formula>
    </cfRule>
  </conditionalFormatting>
  <conditionalFormatting sqref="D54">
    <cfRule type="expression" dxfId="1616" priority="120">
      <formula>"P7 (2016)"</formula>
    </cfRule>
  </conditionalFormatting>
  <conditionalFormatting sqref="D54">
    <cfRule type="containsText" dxfId="1615" priority="113" operator="containsText" text="P7 (2016)">
      <formula>NOT(ISERROR(SEARCH("P7 (2016)",D54)))</formula>
    </cfRule>
    <cfRule type="containsText" dxfId="1614" priority="114" operator="containsText" text="NP">
      <formula>NOT(ISERROR(SEARCH("NP",D54)))</formula>
    </cfRule>
    <cfRule type="containsText" dxfId="1613" priority="115" operator="containsText" text="P7 (2015/ON HILL)">
      <formula>NOT(ISERROR(SEARCH("P7 (2015/ON HILL)",D54)))</formula>
    </cfRule>
    <cfRule type="containsText" dxfId="1612" priority="116" operator="containsText" text="M (2015/NURSERY)">
      <formula>NOT(ISERROR(SEARCH("M (2015/NURSERY)",D54)))</formula>
    </cfRule>
    <cfRule type="containsText" dxfId="1611" priority="117" operator="containsText" text="M (2016/PLOT3)">
      <formula>NOT(ISERROR(SEARCH("M (2016/PLOT3)",D54)))</formula>
    </cfRule>
    <cfRule type="containsText" dxfId="1610" priority="118" operator="containsText" text="M (2017)">
      <formula>NOT(ISERROR(SEARCH("M (2017)",D54)))</formula>
    </cfRule>
    <cfRule type="containsText" dxfId="1609" priority="119" operator="containsText" text="P1 (2017)">
      <formula>NOT(ISERROR(SEARCH("P1 (2017)",D54)))</formula>
    </cfRule>
  </conditionalFormatting>
  <conditionalFormatting sqref="D54">
    <cfRule type="expression" dxfId="1608" priority="112">
      <formula>"P7 (2016)"</formula>
    </cfRule>
  </conditionalFormatting>
  <conditionalFormatting sqref="D54">
    <cfRule type="containsText" dxfId="1607" priority="105" operator="containsText" text="P7 (2016)">
      <formula>NOT(ISERROR(SEARCH("P7 (2016)",D54)))</formula>
    </cfRule>
    <cfRule type="containsText" dxfId="1606" priority="106" operator="containsText" text="NP">
      <formula>NOT(ISERROR(SEARCH("NP",D54)))</formula>
    </cfRule>
    <cfRule type="containsText" dxfId="1605" priority="107" operator="containsText" text="P7 (2015/ON HILL)">
      <formula>NOT(ISERROR(SEARCH("P7 (2015/ON HILL)",D54)))</formula>
    </cfRule>
    <cfRule type="containsText" dxfId="1604" priority="108" operator="containsText" text="M (2015/NURSERY)">
      <formula>NOT(ISERROR(SEARCH("M (2015/NURSERY)",D54)))</formula>
    </cfRule>
    <cfRule type="containsText" dxfId="1603" priority="109" operator="containsText" text="M (2016/PLOT3)">
      <formula>NOT(ISERROR(SEARCH("M (2016/PLOT3)",D54)))</formula>
    </cfRule>
    <cfRule type="containsText" dxfId="1602" priority="110" operator="containsText" text="M (2017)">
      <formula>NOT(ISERROR(SEARCH("M (2017)",D54)))</formula>
    </cfRule>
    <cfRule type="containsText" dxfId="1601" priority="111" operator="containsText" text="P1 (2017)">
      <formula>NOT(ISERROR(SEARCH("P1 (2017)",D54)))</formula>
    </cfRule>
  </conditionalFormatting>
  <conditionalFormatting sqref="D54">
    <cfRule type="expression" dxfId="1600" priority="104">
      <formula>"P7 (2016)"</formula>
    </cfRule>
  </conditionalFormatting>
  <conditionalFormatting sqref="D54">
    <cfRule type="containsText" dxfId="1599" priority="97" operator="containsText" text="P7 (2016)">
      <formula>NOT(ISERROR(SEARCH("P7 (2016)",D54)))</formula>
    </cfRule>
    <cfRule type="containsText" dxfId="1598" priority="98" operator="containsText" text="NP">
      <formula>NOT(ISERROR(SEARCH("NP",D54)))</formula>
    </cfRule>
    <cfRule type="containsText" dxfId="1597" priority="99" operator="containsText" text="P7 (2015/ON HILL)">
      <formula>NOT(ISERROR(SEARCH("P7 (2015/ON HILL)",D54)))</formula>
    </cfRule>
    <cfRule type="containsText" dxfId="1596" priority="100" operator="containsText" text="M (2015/NURSERY)">
      <formula>NOT(ISERROR(SEARCH("M (2015/NURSERY)",D54)))</formula>
    </cfRule>
    <cfRule type="containsText" dxfId="1595" priority="101" operator="containsText" text="M (2016/PLOT3)">
      <formula>NOT(ISERROR(SEARCH("M (2016/PLOT3)",D54)))</formula>
    </cfRule>
    <cfRule type="containsText" dxfId="1594" priority="102" operator="containsText" text="M (2017)">
      <formula>NOT(ISERROR(SEARCH("M (2017)",D54)))</formula>
    </cfRule>
    <cfRule type="containsText" dxfId="1593" priority="103" operator="containsText" text="P1 (2017)">
      <formula>NOT(ISERROR(SEARCH("P1 (2017)",D54)))</formula>
    </cfRule>
  </conditionalFormatting>
  <conditionalFormatting sqref="D75">
    <cfRule type="expression" dxfId="1592" priority="96">
      <formula>"P7 (2016)"</formula>
    </cfRule>
  </conditionalFormatting>
  <conditionalFormatting sqref="D75">
    <cfRule type="containsText" dxfId="1591" priority="89" operator="containsText" text="P7 (2016)">
      <formula>NOT(ISERROR(SEARCH("P7 (2016)",D75)))</formula>
    </cfRule>
    <cfRule type="containsText" dxfId="1590" priority="90" operator="containsText" text="NP">
      <formula>NOT(ISERROR(SEARCH("NP",D75)))</formula>
    </cfRule>
    <cfRule type="containsText" dxfId="1589" priority="91" operator="containsText" text="P7 (2015/ON HILL)">
      <formula>NOT(ISERROR(SEARCH("P7 (2015/ON HILL)",D75)))</formula>
    </cfRule>
    <cfRule type="containsText" dxfId="1588" priority="92" operator="containsText" text="M (2015/NURSERY)">
      <formula>NOT(ISERROR(SEARCH("M (2015/NURSERY)",D75)))</formula>
    </cfRule>
    <cfRule type="containsText" dxfId="1587" priority="93" operator="containsText" text="M (2016/PLOT3)">
      <formula>NOT(ISERROR(SEARCH("M (2016/PLOT3)",D75)))</formula>
    </cfRule>
    <cfRule type="containsText" dxfId="1586" priority="94" operator="containsText" text="M (2017)">
      <formula>NOT(ISERROR(SEARCH("M (2017)",D75)))</formula>
    </cfRule>
    <cfRule type="containsText" dxfId="1585" priority="95" operator="containsText" text="P1 (2017)">
      <formula>NOT(ISERROR(SEARCH("P1 (2017)",D75)))</formula>
    </cfRule>
  </conditionalFormatting>
  <conditionalFormatting sqref="D75">
    <cfRule type="expression" dxfId="1584" priority="88">
      <formula>"P7 (2016)"</formula>
    </cfRule>
  </conditionalFormatting>
  <conditionalFormatting sqref="D75">
    <cfRule type="containsText" dxfId="1583" priority="81" operator="containsText" text="P7 (2016)">
      <formula>NOT(ISERROR(SEARCH("P7 (2016)",D75)))</formula>
    </cfRule>
    <cfRule type="containsText" dxfId="1582" priority="82" operator="containsText" text="NP">
      <formula>NOT(ISERROR(SEARCH("NP",D75)))</formula>
    </cfRule>
    <cfRule type="containsText" dxfId="1581" priority="83" operator="containsText" text="P7 (2015/ON HILL)">
      <formula>NOT(ISERROR(SEARCH("P7 (2015/ON HILL)",D75)))</formula>
    </cfRule>
    <cfRule type="containsText" dxfId="1580" priority="84" operator="containsText" text="M (2015/NURSERY)">
      <formula>NOT(ISERROR(SEARCH("M (2015/NURSERY)",D75)))</formula>
    </cfRule>
    <cfRule type="containsText" dxfId="1579" priority="85" operator="containsText" text="M (2016/PLOT3)">
      <formula>NOT(ISERROR(SEARCH("M (2016/PLOT3)",D75)))</formula>
    </cfRule>
    <cfRule type="containsText" dxfId="1578" priority="86" operator="containsText" text="M (2017)">
      <formula>NOT(ISERROR(SEARCH("M (2017)",D75)))</formula>
    </cfRule>
    <cfRule type="containsText" dxfId="1577" priority="87" operator="containsText" text="P1 (2017)">
      <formula>NOT(ISERROR(SEARCH("P1 (2017)",D75)))</formula>
    </cfRule>
  </conditionalFormatting>
  <conditionalFormatting sqref="D75">
    <cfRule type="expression" dxfId="1576" priority="80">
      <formula>"P7 (2016)"</formula>
    </cfRule>
  </conditionalFormatting>
  <conditionalFormatting sqref="D75">
    <cfRule type="containsText" dxfId="1575" priority="73" operator="containsText" text="P7 (2016)">
      <formula>NOT(ISERROR(SEARCH("P7 (2016)",D75)))</formula>
    </cfRule>
    <cfRule type="containsText" dxfId="1574" priority="74" operator="containsText" text="NP">
      <formula>NOT(ISERROR(SEARCH("NP",D75)))</formula>
    </cfRule>
    <cfRule type="containsText" dxfId="1573" priority="75" operator="containsText" text="P7 (2015/ON HILL)">
      <formula>NOT(ISERROR(SEARCH("P7 (2015/ON HILL)",D75)))</formula>
    </cfRule>
    <cfRule type="containsText" dxfId="1572" priority="76" operator="containsText" text="M (2015/NURSERY)">
      <formula>NOT(ISERROR(SEARCH("M (2015/NURSERY)",D75)))</formula>
    </cfRule>
    <cfRule type="containsText" dxfId="1571" priority="77" operator="containsText" text="M (2016/PLOT3)">
      <formula>NOT(ISERROR(SEARCH("M (2016/PLOT3)",D75)))</formula>
    </cfRule>
    <cfRule type="containsText" dxfId="1570" priority="78" operator="containsText" text="M (2017)">
      <formula>NOT(ISERROR(SEARCH("M (2017)",D75)))</formula>
    </cfRule>
    <cfRule type="containsText" dxfId="1569" priority="79" operator="containsText" text="P1 (2017)">
      <formula>NOT(ISERROR(SEARCH("P1 (2017)",D75)))</formula>
    </cfRule>
  </conditionalFormatting>
  <conditionalFormatting sqref="D75">
    <cfRule type="expression" dxfId="1568" priority="72">
      <formula>"P7 (2016)"</formula>
    </cfRule>
  </conditionalFormatting>
  <conditionalFormatting sqref="D75">
    <cfRule type="containsText" dxfId="1567" priority="65" operator="containsText" text="P7 (2016)">
      <formula>NOT(ISERROR(SEARCH("P7 (2016)",D75)))</formula>
    </cfRule>
    <cfRule type="containsText" dxfId="1566" priority="66" operator="containsText" text="NP">
      <formula>NOT(ISERROR(SEARCH("NP",D75)))</formula>
    </cfRule>
    <cfRule type="containsText" dxfId="1565" priority="67" operator="containsText" text="P7 (2015/ON HILL)">
      <formula>NOT(ISERROR(SEARCH("P7 (2015/ON HILL)",D75)))</formula>
    </cfRule>
    <cfRule type="containsText" dxfId="1564" priority="68" operator="containsText" text="M (2015/NURSERY)">
      <formula>NOT(ISERROR(SEARCH("M (2015/NURSERY)",D75)))</formula>
    </cfRule>
    <cfRule type="containsText" dxfId="1563" priority="69" operator="containsText" text="M (2016/PLOT3)">
      <formula>NOT(ISERROR(SEARCH("M (2016/PLOT3)",D75)))</formula>
    </cfRule>
    <cfRule type="containsText" dxfId="1562" priority="70" operator="containsText" text="M (2017)">
      <formula>NOT(ISERROR(SEARCH("M (2017)",D75)))</formula>
    </cfRule>
    <cfRule type="containsText" dxfId="1561" priority="71" operator="containsText" text="P1 (2017)">
      <formula>NOT(ISERROR(SEARCH("P1 (2017)",D75)))</formula>
    </cfRule>
  </conditionalFormatting>
  <conditionalFormatting sqref="D55">
    <cfRule type="expression" dxfId="1560" priority="64">
      <formula>"P7 (2016)"</formula>
    </cfRule>
  </conditionalFormatting>
  <conditionalFormatting sqref="D55">
    <cfRule type="containsText" dxfId="1559" priority="57" operator="containsText" text="P7 (2016)">
      <formula>NOT(ISERROR(SEARCH("P7 (2016)",D55)))</formula>
    </cfRule>
    <cfRule type="containsText" dxfId="1558" priority="58" operator="containsText" text="NP">
      <formula>NOT(ISERROR(SEARCH("NP",D55)))</formula>
    </cfRule>
    <cfRule type="containsText" dxfId="1557" priority="59" operator="containsText" text="P7 (2015/ON HILL)">
      <formula>NOT(ISERROR(SEARCH("P7 (2015/ON HILL)",D55)))</formula>
    </cfRule>
    <cfRule type="containsText" dxfId="1556" priority="60" operator="containsText" text="M (2015/NURSERY)">
      <formula>NOT(ISERROR(SEARCH("M (2015/NURSERY)",D55)))</formula>
    </cfRule>
    <cfRule type="containsText" dxfId="1555" priority="61" operator="containsText" text="M (2016/PLOT3)">
      <formula>NOT(ISERROR(SEARCH("M (2016/PLOT3)",D55)))</formula>
    </cfRule>
    <cfRule type="containsText" dxfId="1554" priority="62" operator="containsText" text="M (2017)">
      <formula>NOT(ISERROR(SEARCH("M (2017)",D55)))</formula>
    </cfRule>
    <cfRule type="containsText" dxfId="1553" priority="63" operator="containsText" text="P1 (2017)">
      <formula>NOT(ISERROR(SEARCH("P1 (2017)",D55)))</formula>
    </cfRule>
  </conditionalFormatting>
  <conditionalFormatting sqref="D56">
    <cfRule type="expression" dxfId="1552" priority="56">
      <formula>"P7 (2016)"</formula>
    </cfRule>
  </conditionalFormatting>
  <conditionalFormatting sqref="D56">
    <cfRule type="containsText" dxfId="1551" priority="49" operator="containsText" text="P7 (2016)">
      <formula>NOT(ISERROR(SEARCH("P7 (2016)",D56)))</formula>
    </cfRule>
    <cfRule type="containsText" dxfId="1550" priority="50" operator="containsText" text="NP">
      <formula>NOT(ISERROR(SEARCH("NP",D56)))</formula>
    </cfRule>
    <cfRule type="containsText" dxfId="1549" priority="51" operator="containsText" text="P7 (2015/ON HILL)">
      <formula>NOT(ISERROR(SEARCH("P7 (2015/ON HILL)",D56)))</formula>
    </cfRule>
    <cfRule type="containsText" dxfId="1548" priority="52" operator="containsText" text="M (2015/NURSERY)">
      <formula>NOT(ISERROR(SEARCH("M (2015/NURSERY)",D56)))</formula>
    </cfRule>
    <cfRule type="containsText" dxfId="1547" priority="53" operator="containsText" text="M (2016/PLOT3)">
      <formula>NOT(ISERROR(SEARCH("M (2016/PLOT3)",D56)))</formula>
    </cfRule>
    <cfRule type="containsText" dxfId="1546" priority="54" operator="containsText" text="M (2017)">
      <formula>NOT(ISERROR(SEARCH("M (2017)",D56)))</formula>
    </cfRule>
    <cfRule type="containsText" dxfId="1545" priority="55" operator="containsText" text="P1 (2017)">
      <formula>NOT(ISERROR(SEARCH("P1 (2017)",D56)))</formula>
    </cfRule>
  </conditionalFormatting>
  <conditionalFormatting sqref="D58">
    <cfRule type="expression" dxfId="1544" priority="48">
      <formula>"P7 (2016)"</formula>
    </cfRule>
  </conditionalFormatting>
  <conditionalFormatting sqref="D58">
    <cfRule type="containsText" dxfId="1543" priority="41" operator="containsText" text="P7 (2016)">
      <formula>NOT(ISERROR(SEARCH("P7 (2016)",D58)))</formula>
    </cfRule>
    <cfRule type="containsText" dxfId="1542" priority="42" operator="containsText" text="NP">
      <formula>NOT(ISERROR(SEARCH("NP",D58)))</formula>
    </cfRule>
    <cfRule type="containsText" dxfId="1541" priority="43" operator="containsText" text="P7 (2015/ON HILL)">
      <formula>NOT(ISERROR(SEARCH("P7 (2015/ON HILL)",D58)))</formula>
    </cfRule>
    <cfRule type="containsText" dxfId="1540" priority="44" operator="containsText" text="M (2015/NURSERY)">
      <formula>NOT(ISERROR(SEARCH("M (2015/NURSERY)",D58)))</formula>
    </cfRule>
    <cfRule type="containsText" dxfId="1539" priority="45" operator="containsText" text="M (2016/PLOT3)">
      <formula>NOT(ISERROR(SEARCH("M (2016/PLOT3)",D58)))</formula>
    </cfRule>
    <cfRule type="containsText" dxfId="1538" priority="46" operator="containsText" text="M (2017)">
      <formula>NOT(ISERROR(SEARCH("M (2017)",D58)))</formula>
    </cfRule>
    <cfRule type="containsText" dxfId="1537" priority="47" operator="containsText" text="P1 (2017)">
      <formula>NOT(ISERROR(SEARCH("P1 (2017)",D58)))</formula>
    </cfRule>
  </conditionalFormatting>
  <conditionalFormatting sqref="D58">
    <cfRule type="expression" dxfId="1536" priority="40">
      <formula>"P7 (2016)"</formula>
    </cfRule>
  </conditionalFormatting>
  <conditionalFormatting sqref="D58">
    <cfRule type="containsText" dxfId="1535" priority="33" operator="containsText" text="P7 (2016)">
      <formula>NOT(ISERROR(SEARCH("P7 (2016)",D58)))</formula>
    </cfRule>
    <cfRule type="containsText" dxfId="1534" priority="34" operator="containsText" text="NP">
      <formula>NOT(ISERROR(SEARCH("NP",D58)))</formula>
    </cfRule>
    <cfRule type="containsText" dxfId="1533" priority="35" operator="containsText" text="P7 (2015/ON HILL)">
      <formula>NOT(ISERROR(SEARCH("P7 (2015/ON HILL)",D58)))</formula>
    </cfRule>
    <cfRule type="containsText" dxfId="1532" priority="36" operator="containsText" text="M (2015/NURSERY)">
      <formula>NOT(ISERROR(SEARCH("M (2015/NURSERY)",D58)))</formula>
    </cfRule>
    <cfRule type="containsText" dxfId="1531" priority="37" operator="containsText" text="M (2016/PLOT3)">
      <formula>NOT(ISERROR(SEARCH("M (2016/PLOT3)",D58)))</formula>
    </cfRule>
    <cfRule type="containsText" dxfId="1530" priority="38" operator="containsText" text="M (2017)">
      <formula>NOT(ISERROR(SEARCH("M (2017)",D58)))</formula>
    </cfRule>
    <cfRule type="containsText" dxfId="1529" priority="39" operator="containsText" text="P1 (2017)">
      <formula>NOT(ISERROR(SEARCH("P1 (2017)",D58)))</formula>
    </cfRule>
  </conditionalFormatting>
  <conditionalFormatting sqref="D58">
    <cfRule type="expression" dxfId="1528" priority="32">
      <formula>"P7 (2016)"</formula>
    </cfRule>
  </conditionalFormatting>
  <conditionalFormatting sqref="D58">
    <cfRule type="containsText" dxfId="1527" priority="25" operator="containsText" text="P7 (2016)">
      <formula>NOT(ISERROR(SEARCH("P7 (2016)",D58)))</formula>
    </cfRule>
    <cfRule type="containsText" dxfId="1526" priority="26" operator="containsText" text="NP">
      <formula>NOT(ISERROR(SEARCH("NP",D58)))</formula>
    </cfRule>
    <cfRule type="containsText" dxfId="1525" priority="27" operator="containsText" text="P7 (2015/ON HILL)">
      <formula>NOT(ISERROR(SEARCH("P7 (2015/ON HILL)",D58)))</formula>
    </cfRule>
    <cfRule type="containsText" dxfId="1524" priority="28" operator="containsText" text="M (2015/NURSERY)">
      <formula>NOT(ISERROR(SEARCH("M (2015/NURSERY)",D58)))</formula>
    </cfRule>
    <cfRule type="containsText" dxfId="1523" priority="29" operator="containsText" text="M (2016/PLOT3)">
      <formula>NOT(ISERROR(SEARCH("M (2016/PLOT3)",D58)))</formula>
    </cfRule>
    <cfRule type="containsText" dxfId="1522" priority="30" operator="containsText" text="M (2017)">
      <formula>NOT(ISERROR(SEARCH("M (2017)",D58)))</formula>
    </cfRule>
    <cfRule type="containsText" dxfId="1521" priority="31" operator="containsText" text="P1 (2017)">
      <formula>NOT(ISERROR(SEARCH("P1 (2017)",D58)))</formula>
    </cfRule>
  </conditionalFormatting>
  <conditionalFormatting sqref="D58">
    <cfRule type="expression" dxfId="1520" priority="24">
      <formula>"P7 (2016)"</formula>
    </cfRule>
  </conditionalFormatting>
  <conditionalFormatting sqref="D58">
    <cfRule type="containsText" dxfId="1519" priority="17" operator="containsText" text="P7 (2016)">
      <formula>NOT(ISERROR(SEARCH("P7 (2016)",D58)))</formula>
    </cfRule>
    <cfRule type="containsText" dxfId="1518" priority="18" operator="containsText" text="NP">
      <formula>NOT(ISERROR(SEARCH("NP",D58)))</formula>
    </cfRule>
    <cfRule type="containsText" dxfId="1517" priority="19" operator="containsText" text="P7 (2015/ON HILL)">
      <formula>NOT(ISERROR(SEARCH("P7 (2015/ON HILL)",D58)))</formula>
    </cfRule>
    <cfRule type="containsText" dxfId="1516" priority="20" operator="containsText" text="M (2015/NURSERY)">
      <formula>NOT(ISERROR(SEARCH("M (2015/NURSERY)",D58)))</formula>
    </cfRule>
    <cfRule type="containsText" dxfId="1515" priority="21" operator="containsText" text="M (2016/PLOT3)">
      <formula>NOT(ISERROR(SEARCH("M (2016/PLOT3)",D58)))</formula>
    </cfRule>
    <cfRule type="containsText" dxfId="1514" priority="22" operator="containsText" text="M (2017)">
      <formula>NOT(ISERROR(SEARCH("M (2017)",D58)))</formula>
    </cfRule>
    <cfRule type="containsText" dxfId="1513" priority="23" operator="containsText" text="P1 (2017)">
      <formula>NOT(ISERROR(SEARCH("P1 (2017)",D58)))</formula>
    </cfRule>
  </conditionalFormatting>
  <conditionalFormatting sqref="D57">
    <cfRule type="expression" dxfId="1512" priority="16">
      <formula>"P7 (2016)"</formula>
    </cfRule>
  </conditionalFormatting>
  <conditionalFormatting sqref="D57">
    <cfRule type="containsText" dxfId="1511" priority="9" operator="containsText" text="P7 (2016)">
      <formula>NOT(ISERROR(SEARCH("P7 (2016)",D57)))</formula>
    </cfRule>
    <cfRule type="containsText" dxfId="1510" priority="10" operator="containsText" text="NP">
      <formula>NOT(ISERROR(SEARCH("NP",D57)))</formula>
    </cfRule>
    <cfRule type="containsText" dxfId="1509" priority="11" operator="containsText" text="P7 (2015/ON HILL)">
      <formula>NOT(ISERROR(SEARCH("P7 (2015/ON HILL)",D57)))</formula>
    </cfRule>
    <cfRule type="containsText" dxfId="1508" priority="12" operator="containsText" text="M (2015/NURSERY)">
      <formula>NOT(ISERROR(SEARCH("M (2015/NURSERY)",D57)))</formula>
    </cfRule>
    <cfRule type="containsText" dxfId="1507" priority="13" operator="containsText" text="M (2016/PLOT3)">
      <formula>NOT(ISERROR(SEARCH("M (2016/PLOT3)",D57)))</formula>
    </cfRule>
    <cfRule type="containsText" dxfId="1506" priority="14" operator="containsText" text="M (2017)">
      <formula>NOT(ISERROR(SEARCH("M (2017)",D57)))</formula>
    </cfRule>
    <cfRule type="containsText" dxfId="1505" priority="15" operator="containsText" text="P1 (2017)">
      <formula>NOT(ISERROR(SEARCH("P1 (2017)",D57)))</formula>
    </cfRule>
  </conditionalFormatting>
  <conditionalFormatting sqref="D59:D60">
    <cfRule type="expression" dxfId="1504" priority="8">
      <formula>"P7 (2016)"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U305"/>
  <sheetViews>
    <sheetView topLeftCell="C70" zoomScale="90" zoomScaleNormal="90" workbookViewId="0">
      <selection activeCell="D90" sqref="D90"/>
    </sheetView>
  </sheetViews>
  <sheetFormatPr defaultRowHeight="15" x14ac:dyDescent="0.25"/>
  <cols>
    <col min="1" max="1" width="5.85546875" customWidth="1"/>
    <col min="2" max="2" width="16" bestFit="1" customWidth="1"/>
    <col min="3" max="3" width="29" style="24" bestFit="1" customWidth="1"/>
    <col min="4" max="4" width="34.7109375" style="3" bestFit="1" customWidth="1"/>
    <col min="5" max="5" width="7.5703125" style="24" customWidth="1"/>
    <col min="6" max="6" width="7" style="24" customWidth="1"/>
    <col min="7" max="7" width="11" style="24" bestFit="1" customWidth="1"/>
    <col min="8" max="8" width="10.5703125" style="75" bestFit="1" customWidth="1"/>
    <col min="9" max="9" width="1.5703125" customWidth="1"/>
    <col min="10" max="10" width="26.140625" bestFit="1" customWidth="1"/>
    <col min="11" max="11" width="32.42578125" bestFit="1" customWidth="1"/>
    <col min="12" max="12" width="21.5703125" bestFit="1" customWidth="1"/>
    <col min="13" max="13" width="24.42578125" customWidth="1"/>
    <col min="14" max="14" width="18.140625" bestFit="1" customWidth="1"/>
    <col min="15" max="15" width="11.7109375" customWidth="1"/>
    <col min="16" max="16" width="15.7109375" style="24" customWidth="1"/>
    <col min="17" max="17" width="11.140625" style="24" customWidth="1"/>
    <col min="18" max="18" width="14.42578125" customWidth="1"/>
    <col min="19" max="19" width="18.7109375" customWidth="1"/>
  </cols>
  <sheetData>
    <row r="1" spans="1:21" ht="43.5" customHeight="1" x14ac:dyDescent="0.25">
      <c r="A1" s="35" t="s">
        <v>132</v>
      </c>
      <c r="B1" s="26" t="s">
        <v>133</v>
      </c>
      <c r="C1" s="136" t="s">
        <v>134</v>
      </c>
      <c r="D1" s="136"/>
      <c r="E1" s="26" t="s">
        <v>135</v>
      </c>
      <c r="F1" s="26" t="s">
        <v>136</v>
      </c>
      <c r="G1" s="27" t="s">
        <v>137</v>
      </c>
      <c r="H1" s="66" t="s">
        <v>138</v>
      </c>
      <c r="I1" s="35"/>
      <c r="J1" s="26" t="s">
        <v>139</v>
      </c>
      <c r="K1" s="26" t="s">
        <v>140</v>
      </c>
      <c r="L1" s="26" t="s">
        <v>141</v>
      </c>
      <c r="M1" s="66" t="s">
        <v>142</v>
      </c>
      <c r="N1" s="35" t="s">
        <v>143</v>
      </c>
      <c r="O1" s="28" t="s">
        <v>144</v>
      </c>
      <c r="P1" s="29" t="s">
        <v>145</v>
      </c>
      <c r="Q1" s="29" t="s">
        <v>146</v>
      </c>
      <c r="R1" s="28" t="s">
        <v>147</v>
      </c>
      <c r="S1" s="28" t="s">
        <v>148</v>
      </c>
    </row>
    <row r="2" spans="1:21" x14ac:dyDescent="0.25">
      <c r="A2" s="35">
        <v>1</v>
      </c>
      <c r="B2" s="35" t="s">
        <v>149</v>
      </c>
      <c r="C2" s="136" t="s">
        <v>150</v>
      </c>
      <c r="D2" s="35" t="s">
        <v>151</v>
      </c>
      <c r="E2" s="26">
        <v>24</v>
      </c>
      <c r="F2" s="26"/>
      <c r="G2" s="26"/>
      <c r="H2" s="26">
        <v>1</v>
      </c>
      <c r="I2" s="35"/>
      <c r="J2" s="35"/>
      <c r="K2" s="35"/>
      <c r="L2" s="35"/>
      <c r="M2" s="35"/>
      <c r="N2" s="30"/>
      <c r="O2" s="31"/>
      <c r="P2" s="32"/>
      <c r="Q2" s="32"/>
      <c r="R2" s="31"/>
      <c r="S2" s="31">
        <f>Q2+R2</f>
        <v>0</v>
      </c>
    </row>
    <row r="3" spans="1:21" x14ac:dyDescent="0.25">
      <c r="A3" s="35"/>
      <c r="B3" s="31" t="s">
        <v>152</v>
      </c>
      <c r="C3" s="136"/>
      <c r="D3" s="33" t="s">
        <v>153</v>
      </c>
      <c r="E3" s="32">
        <v>97</v>
      </c>
      <c r="F3" s="26"/>
      <c r="G3" s="26"/>
      <c r="H3" s="26">
        <v>1</v>
      </c>
      <c r="I3" s="35"/>
      <c r="J3" s="35"/>
      <c r="K3" s="35"/>
      <c r="L3" s="35"/>
      <c r="M3" s="35"/>
      <c r="N3" s="30"/>
      <c r="O3" s="31"/>
      <c r="P3" s="32"/>
      <c r="Q3" s="32"/>
      <c r="R3" s="31"/>
      <c r="S3" s="31"/>
      <c r="U3" s="34" t="s">
        <v>154</v>
      </c>
    </row>
    <row r="4" spans="1:21" x14ac:dyDescent="0.25">
      <c r="A4" s="137">
        <v>2</v>
      </c>
      <c r="B4" s="35" t="s">
        <v>155</v>
      </c>
      <c r="C4" s="136" t="s">
        <v>156</v>
      </c>
      <c r="D4" s="35" t="s">
        <v>157</v>
      </c>
      <c r="E4" s="26"/>
      <c r="F4" s="72">
        <v>2554</v>
      </c>
      <c r="G4" s="72">
        <v>2142</v>
      </c>
      <c r="H4" s="26">
        <v>110</v>
      </c>
      <c r="I4" s="35"/>
      <c r="J4" s="35" t="s">
        <v>158</v>
      </c>
      <c r="K4" s="35" t="s">
        <v>3</v>
      </c>
      <c r="L4" s="35" t="s">
        <v>159</v>
      </c>
      <c r="M4" s="35"/>
      <c r="N4" s="35" t="s">
        <v>160</v>
      </c>
      <c r="O4" s="31"/>
      <c r="P4" s="32">
        <v>821</v>
      </c>
      <c r="Q4" s="32">
        <f>G4-P4</f>
        <v>1321</v>
      </c>
      <c r="R4" s="31"/>
      <c r="S4" s="31"/>
    </row>
    <row r="5" spans="1:21" x14ac:dyDescent="0.25">
      <c r="A5" s="137"/>
      <c r="B5" s="35" t="s">
        <v>152</v>
      </c>
      <c r="C5" s="136"/>
      <c r="D5" s="36" t="s">
        <v>161</v>
      </c>
      <c r="E5" s="41"/>
      <c r="F5" s="41">
        <v>129</v>
      </c>
      <c r="G5" s="41"/>
      <c r="H5" s="41">
        <v>1</v>
      </c>
      <c r="I5" s="35"/>
      <c r="J5" s="35" t="s">
        <v>162</v>
      </c>
      <c r="K5" s="35" t="s">
        <v>3</v>
      </c>
      <c r="L5" s="35" t="s">
        <v>159</v>
      </c>
      <c r="M5" s="35"/>
      <c r="N5" s="35" t="s">
        <v>160</v>
      </c>
      <c r="O5" s="31"/>
      <c r="P5" s="32"/>
      <c r="Q5" s="32"/>
      <c r="R5" s="31"/>
      <c r="S5" s="31"/>
      <c r="T5" s="17"/>
    </row>
    <row r="6" spans="1:21" x14ac:dyDescent="0.25">
      <c r="A6" s="35"/>
      <c r="B6" s="37">
        <v>2015</v>
      </c>
      <c r="C6" s="136"/>
      <c r="D6" s="38" t="s">
        <v>2</v>
      </c>
      <c r="E6" s="39">
        <v>8</v>
      </c>
      <c r="F6" s="26"/>
      <c r="G6" s="26"/>
      <c r="H6" s="26">
        <v>1</v>
      </c>
      <c r="I6" s="35"/>
      <c r="J6" s="35"/>
      <c r="K6" s="35" t="s">
        <v>3</v>
      </c>
      <c r="L6" s="35"/>
      <c r="M6" s="35"/>
      <c r="N6" s="35" t="s">
        <v>160</v>
      </c>
      <c r="O6" s="31"/>
      <c r="P6" s="32"/>
      <c r="Q6" s="32"/>
      <c r="R6" s="31"/>
      <c r="S6" s="31"/>
      <c r="T6" s="17"/>
    </row>
    <row r="7" spans="1:21" ht="19.5" customHeight="1" x14ac:dyDescent="0.25">
      <c r="A7" s="35"/>
      <c r="B7" s="37">
        <v>2015</v>
      </c>
      <c r="C7" s="41" t="s">
        <v>4</v>
      </c>
      <c r="D7" s="36" t="s">
        <v>4</v>
      </c>
      <c r="E7" s="63"/>
      <c r="F7" s="63">
        <v>465</v>
      </c>
      <c r="G7" s="63">
        <v>465</v>
      </c>
      <c r="H7" s="63">
        <v>3</v>
      </c>
      <c r="I7" s="35"/>
      <c r="J7" s="31" t="s">
        <v>163</v>
      </c>
      <c r="K7" s="40" t="s">
        <v>5</v>
      </c>
      <c r="L7" s="35" t="s">
        <v>159</v>
      </c>
      <c r="M7" s="35"/>
      <c r="N7" s="35" t="s">
        <v>160</v>
      </c>
      <c r="O7" s="31"/>
      <c r="P7" s="32">
        <v>283</v>
      </c>
      <c r="Q7" s="32">
        <f>G7-P7</f>
        <v>182</v>
      </c>
      <c r="R7" s="31"/>
      <c r="S7" s="31"/>
      <c r="T7" s="17"/>
    </row>
    <row r="8" spans="1:21" ht="19.5" customHeight="1" x14ac:dyDescent="0.25">
      <c r="A8" s="35"/>
      <c r="B8" s="37">
        <v>2015</v>
      </c>
      <c r="C8" s="135" t="s">
        <v>6</v>
      </c>
      <c r="D8" s="36" t="s">
        <v>6</v>
      </c>
      <c r="E8" s="63"/>
      <c r="F8" s="63">
        <v>285</v>
      </c>
      <c r="G8" s="63"/>
      <c r="H8" s="63">
        <v>3</v>
      </c>
      <c r="I8" s="35"/>
      <c r="J8" s="31" t="s">
        <v>163</v>
      </c>
      <c r="K8" s="11" t="s">
        <v>7</v>
      </c>
      <c r="L8" s="35" t="s">
        <v>159</v>
      </c>
      <c r="M8" s="35"/>
      <c r="N8" s="35" t="s">
        <v>160</v>
      </c>
      <c r="O8" s="31"/>
      <c r="P8" s="32"/>
      <c r="Q8" s="32"/>
      <c r="R8" s="31"/>
      <c r="S8" s="31"/>
    </row>
    <row r="9" spans="1:21" x14ac:dyDescent="0.25">
      <c r="A9" s="31"/>
      <c r="B9" s="31" t="s">
        <v>164</v>
      </c>
      <c r="C9" s="138"/>
      <c r="D9" s="33" t="s">
        <v>165</v>
      </c>
      <c r="E9" s="32">
        <v>8</v>
      </c>
      <c r="F9" s="32"/>
      <c r="G9" s="32"/>
      <c r="H9" s="26">
        <v>1</v>
      </c>
      <c r="I9" s="31"/>
      <c r="J9" s="31" t="s">
        <v>166</v>
      </c>
      <c r="K9" s="31" t="s">
        <v>7</v>
      </c>
      <c r="L9" s="31"/>
      <c r="M9" s="31" t="s">
        <v>167</v>
      </c>
      <c r="N9" s="30" t="s">
        <v>160</v>
      </c>
      <c r="O9" s="31"/>
      <c r="P9" s="32"/>
      <c r="Q9" s="32"/>
      <c r="R9" s="31"/>
      <c r="S9" s="31"/>
    </row>
    <row r="10" spans="1:21" x14ac:dyDescent="0.25">
      <c r="A10" s="35"/>
      <c r="B10" s="37">
        <v>2015</v>
      </c>
      <c r="C10" s="42" t="s">
        <v>168</v>
      </c>
      <c r="D10" s="38" t="s">
        <v>168</v>
      </c>
      <c r="E10" s="26"/>
      <c r="F10" s="26">
        <v>64</v>
      </c>
      <c r="G10" s="26"/>
      <c r="H10" s="26">
        <v>2</v>
      </c>
      <c r="I10" s="35"/>
      <c r="J10" s="31" t="s">
        <v>163</v>
      </c>
      <c r="K10" s="11" t="s">
        <v>169</v>
      </c>
      <c r="L10" s="43" t="s">
        <v>170</v>
      </c>
      <c r="M10" s="35"/>
      <c r="N10" s="35" t="s">
        <v>160</v>
      </c>
      <c r="O10" s="31"/>
      <c r="P10" s="32"/>
      <c r="Q10" s="32"/>
      <c r="R10" s="31"/>
      <c r="S10" s="31"/>
    </row>
    <row r="11" spans="1:21" x14ac:dyDescent="0.25">
      <c r="A11" s="35"/>
      <c r="B11" s="37">
        <v>2015</v>
      </c>
      <c r="C11" s="42" t="s">
        <v>171</v>
      </c>
      <c r="D11" s="38" t="s">
        <v>171</v>
      </c>
      <c r="E11" s="26"/>
      <c r="F11" s="26">
        <v>142</v>
      </c>
      <c r="G11" s="26"/>
      <c r="H11" s="26">
        <v>2</v>
      </c>
      <c r="I11" s="35"/>
      <c r="J11" s="31" t="s">
        <v>163</v>
      </c>
      <c r="K11" s="11" t="s">
        <v>172</v>
      </c>
      <c r="L11" s="43" t="s">
        <v>173</v>
      </c>
      <c r="M11" s="35"/>
      <c r="N11" s="35" t="s">
        <v>160</v>
      </c>
      <c r="O11" s="31"/>
      <c r="P11" s="32"/>
      <c r="Q11" s="32"/>
      <c r="R11" s="31"/>
      <c r="S11" s="31"/>
    </row>
    <row r="12" spans="1:21" x14ac:dyDescent="0.25">
      <c r="A12" s="35"/>
      <c r="B12" s="37">
        <v>2015</v>
      </c>
      <c r="C12" s="42" t="s">
        <v>174</v>
      </c>
      <c r="D12" s="38" t="s">
        <v>174</v>
      </c>
      <c r="E12" s="26"/>
      <c r="F12" s="26">
        <v>67</v>
      </c>
      <c r="G12" s="26"/>
      <c r="H12" s="26">
        <v>2</v>
      </c>
      <c r="I12" s="35"/>
      <c r="J12" s="31" t="s">
        <v>163</v>
      </c>
      <c r="K12" s="11" t="s">
        <v>175</v>
      </c>
      <c r="L12" s="43" t="s">
        <v>176</v>
      </c>
      <c r="M12" s="35"/>
      <c r="N12" s="35" t="s">
        <v>160</v>
      </c>
      <c r="O12" s="31"/>
      <c r="P12" s="32"/>
      <c r="Q12" s="32"/>
      <c r="R12" s="31"/>
      <c r="S12" s="31"/>
    </row>
    <row r="13" spans="1:21" ht="15.75" x14ac:dyDescent="0.25">
      <c r="A13" s="35"/>
      <c r="B13" s="37">
        <v>2015</v>
      </c>
      <c r="C13" s="41" t="s">
        <v>177</v>
      </c>
      <c r="D13" s="36" t="s">
        <v>177</v>
      </c>
      <c r="E13" s="63"/>
      <c r="F13" s="63">
        <v>219</v>
      </c>
      <c r="G13" s="63"/>
      <c r="H13" s="63">
        <v>3</v>
      </c>
      <c r="I13" s="35"/>
      <c r="J13" s="31" t="s">
        <v>163</v>
      </c>
      <c r="K13" s="11" t="s">
        <v>11</v>
      </c>
      <c r="L13" s="43" t="s">
        <v>178</v>
      </c>
      <c r="M13" s="35"/>
      <c r="N13" s="35" t="s">
        <v>160</v>
      </c>
      <c r="O13" s="31"/>
      <c r="P13" s="32"/>
      <c r="Q13" s="32"/>
      <c r="R13" s="31"/>
      <c r="S13" s="31"/>
    </row>
    <row r="14" spans="1:21" x14ac:dyDescent="0.25">
      <c r="A14" s="35"/>
      <c r="B14" s="37">
        <v>2015</v>
      </c>
      <c r="C14" s="41" t="s">
        <v>100</v>
      </c>
      <c r="D14" s="36" t="s">
        <v>100</v>
      </c>
      <c r="E14" s="41"/>
      <c r="F14" s="41">
        <v>120</v>
      </c>
      <c r="G14" s="41"/>
      <c r="H14" s="41">
        <v>3</v>
      </c>
      <c r="I14" s="35"/>
      <c r="J14" s="31" t="s">
        <v>163</v>
      </c>
      <c r="K14" s="11" t="s">
        <v>101</v>
      </c>
      <c r="L14" s="43" t="s">
        <v>179</v>
      </c>
      <c r="M14" s="35"/>
      <c r="N14" s="35" t="s">
        <v>160</v>
      </c>
      <c r="O14" s="31"/>
      <c r="P14" s="32"/>
      <c r="Q14" s="32"/>
      <c r="R14" s="31"/>
      <c r="S14" s="31"/>
    </row>
    <row r="15" spans="1:21" x14ac:dyDescent="0.25">
      <c r="A15" s="35"/>
      <c r="B15" s="37">
        <v>2015</v>
      </c>
      <c r="C15" s="135" t="s">
        <v>180</v>
      </c>
      <c r="D15" s="38" t="s">
        <v>180</v>
      </c>
      <c r="E15" s="26"/>
      <c r="F15" s="26">
        <v>198</v>
      </c>
      <c r="G15" s="26"/>
      <c r="H15" s="26">
        <v>3</v>
      </c>
      <c r="I15" s="35"/>
      <c r="J15" s="31" t="s">
        <v>163</v>
      </c>
      <c r="K15" s="11" t="s">
        <v>103</v>
      </c>
      <c r="L15" s="43"/>
      <c r="M15" s="35"/>
      <c r="N15" s="35" t="s">
        <v>160</v>
      </c>
      <c r="O15" s="31"/>
      <c r="P15" s="32"/>
      <c r="Q15" s="32"/>
      <c r="R15" s="31"/>
      <c r="S15" s="31"/>
    </row>
    <row r="16" spans="1:21" x14ac:dyDescent="0.25">
      <c r="A16" s="35">
        <v>3</v>
      </c>
      <c r="B16" s="35" t="s">
        <v>152</v>
      </c>
      <c r="C16" s="135"/>
      <c r="D16" s="36" t="s">
        <v>181</v>
      </c>
      <c r="E16" s="26"/>
      <c r="F16" s="26">
        <v>237</v>
      </c>
      <c r="G16" s="26"/>
      <c r="H16" s="26">
        <v>9</v>
      </c>
      <c r="I16" s="35"/>
      <c r="J16" s="35" t="s">
        <v>162</v>
      </c>
      <c r="K16" s="35" t="s">
        <v>103</v>
      </c>
      <c r="L16" s="35" t="s">
        <v>159</v>
      </c>
      <c r="M16" s="35"/>
      <c r="N16" s="35" t="s">
        <v>160</v>
      </c>
      <c r="O16" s="31"/>
      <c r="P16" s="32"/>
      <c r="Q16" s="32"/>
      <c r="R16" s="31"/>
      <c r="S16" s="31"/>
    </row>
    <row r="17" spans="1:19" x14ac:dyDescent="0.25">
      <c r="A17" s="35"/>
      <c r="B17" s="35" t="s">
        <v>149</v>
      </c>
      <c r="C17" s="138" t="s">
        <v>182</v>
      </c>
      <c r="D17" s="35" t="s">
        <v>183</v>
      </c>
      <c r="E17" s="26">
        <v>2</v>
      </c>
      <c r="F17" s="26"/>
      <c r="G17" s="26"/>
      <c r="H17" s="26">
        <v>1</v>
      </c>
      <c r="I17" s="35"/>
      <c r="J17" s="35"/>
      <c r="K17" s="35" t="s">
        <v>184</v>
      </c>
      <c r="L17" s="44" t="s">
        <v>185</v>
      </c>
      <c r="M17" s="35"/>
      <c r="N17" s="35" t="s">
        <v>160</v>
      </c>
      <c r="O17" s="31"/>
      <c r="P17" s="32"/>
      <c r="Q17" s="32"/>
      <c r="R17" s="31"/>
      <c r="S17" s="31"/>
    </row>
    <row r="18" spans="1:19" x14ac:dyDescent="0.25">
      <c r="A18" s="35"/>
      <c r="B18" s="37">
        <v>2015</v>
      </c>
      <c r="C18" s="138"/>
      <c r="D18" s="38" t="s">
        <v>182</v>
      </c>
      <c r="E18" s="26"/>
      <c r="F18" s="26">
        <v>131</v>
      </c>
      <c r="G18" s="26"/>
      <c r="H18" s="26">
        <v>3</v>
      </c>
      <c r="I18" s="35"/>
      <c r="J18" s="31" t="s">
        <v>163</v>
      </c>
      <c r="K18" s="11" t="s">
        <v>186</v>
      </c>
      <c r="L18" s="43" t="s">
        <v>185</v>
      </c>
      <c r="M18" s="35"/>
      <c r="N18" s="35" t="s">
        <v>160</v>
      </c>
      <c r="O18" s="31"/>
      <c r="P18" s="32"/>
      <c r="Q18" s="32"/>
      <c r="R18" s="31"/>
      <c r="S18" s="31"/>
    </row>
    <row r="19" spans="1:19" ht="15.75" x14ac:dyDescent="0.25">
      <c r="A19" s="35"/>
      <c r="B19" s="37">
        <v>2015</v>
      </c>
      <c r="C19" s="41" t="s">
        <v>12</v>
      </c>
      <c r="D19" s="36" t="s">
        <v>12</v>
      </c>
      <c r="E19" s="63"/>
      <c r="F19" s="63">
        <v>317</v>
      </c>
      <c r="G19" s="63">
        <v>317</v>
      </c>
      <c r="H19" s="63">
        <v>4</v>
      </c>
      <c r="I19" s="35"/>
      <c r="J19" s="31" t="s">
        <v>163</v>
      </c>
      <c r="K19" s="11" t="s">
        <v>13</v>
      </c>
      <c r="L19" s="43"/>
      <c r="M19" s="35"/>
      <c r="N19" s="35" t="s">
        <v>160</v>
      </c>
      <c r="O19" s="31"/>
      <c r="P19" s="32"/>
      <c r="Q19" s="32"/>
      <c r="R19" s="31"/>
      <c r="S19" s="31"/>
    </row>
    <row r="20" spans="1:19" x14ac:dyDescent="0.25">
      <c r="A20" s="35"/>
      <c r="B20" s="37">
        <v>2015</v>
      </c>
      <c r="C20" s="42" t="s">
        <v>187</v>
      </c>
      <c r="D20" s="38" t="s">
        <v>187</v>
      </c>
      <c r="E20" s="26">
        <v>150</v>
      </c>
      <c r="F20" s="26"/>
      <c r="G20" s="26"/>
      <c r="H20" s="26">
        <v>1</v>
      </c>
      <c r="I20" s="35"/>
      <c r="J20" s="31" t="s">
        <v>163</v>
      </c>
      <c r="K20" s="11" t="s">
        <v>188</v>
      </c>
      <c r="L20" s="43"/>
      <c r="M20" s="35"/>
      <c r="N20" s="35" t="s">
        <v>160</v>
      </c>
      <c r="O20" s="31"/>
      <c r="P20" s="32"/>
      <c r="Q20" s="32"/>
      <c r="R20" s="31"/>
      <c r="S20" s="31"/>
    </row>
    <row r="21" spans="1:19" x14ac:dyDescent="0.25">
      <c r="A21" s="35"/>
      <c r="B21" s="37">
        <v>2015</v>
      </c>
      <c r="C21" s="42" t="s">
        <v>189</v>
      </c>
      <c r="D21" s="38" t="s">
        <v>189</v>
      </c>
      <c r="E21" s="26"/>
      <c r="F21" s="26">
        <v>57</v>
      </c>
      <c r="G21" s="26"/>
      <c r="H21" s="26">
        <v>2</v>
      </c>
      <c r="I21" s="35"/>
      <c r="J21" s="31" t="s">
        <v>163</v>
      </c>
      <c r="K21" s="11" t="s">
        <v>190</v>
      </c>
      <c r="L21" s="43"/>
      <c r="M21" s="35"/>
      <c r="N21" s="35" t="s">
        <v>160</v>
      </c>
      <c r="O21" s="31"/>
      <c r="P21" s="32"/>
      <c r="Q21" s="32"/>
      <c r="R21" s="31"/>
      <c r="S21" s="31"/>
    </row>
    <row r="22" spans="1:19" x14ac:dyDescent="0.25">
      <c r="A22" s="35"/>
      <c r="B22" s="37">
        <v>2015</v>
      </c>
      <c r="C22" s="41" t="s">
        <v>104</v>
      </c>
      <c r="D22" s="36" t="s">
        <v>104</v>
      </c>
      <c r="E22" s="41"/>
      <c r="F22" s="41">
        <v>137</v>
      </c>
      <c r="G22" s="41"/>
      <c r="H22" s="41">
        <v>2</v>
      </c>
      <c r="I22" s="35"/>
      <c r="J22" s="31" t="s">
        <v>163</v>
      </c>
      <c r="K22" s="11" t="s">
        <v>105</v>
      </c>
      <c r="L22" s="43"/>
      <c r="M22" s="35"/>
      <c r="N22" s="35" t="s">
        <v>160</v>
      </c>
      <c r="O22" s="31"/>
      <c r="P22" s="32"/>
      <c r="Q22" s="32"/>
      <c r="R22" s="31"/>
      <c r="S22" s="31"/>
    </row>
    <row r="23" spans="1:19" x14ac:dyDescent="0.25">
      <c r="A23" s="35"/>
      <c r="B23" s="37">
        <v>2015</v>
      </c>
      <c r="C23" s="41" t="s">
        <v>106</v>
      </c>
      <c r="D23" s="36" t="s">
        <v>106</v>
      </c>
      <c r="E23" s="41"/>
      <c r="F23" s="41">
        <v>193</v>
      </c>
      <c r="G23" s="41"/>
      <c r="H23" s="41">
        <v>3</v>
      </c>
      <c r="I23" s="35"/>
      <c r="J23" s="31" t="s">
        <v>163</v>
      </c>
      <c r="K23" s="11" t="s">
        <v>107</v>
      </c>
      <c r="L23" s="43"/>
      <c r="M23" s="35"/>
      <c r="N23" s="35" t="s">
        <v>160</v>
      </c>
      <c r="O23" s="31"/>
      <c r="P23" s="32"/>
      <c r="Q23" s="32"/>
      <c r="R23" s="31"/>
      <c r="S23" s="31"/>
    </row>
    <row r="24" spans="1:19" ht="15.75" x14ac:dyDescent="0.25">
      <c r="A24" s="35"/>
      <c r="B24" s="37">
        <v>2015</v>
      </c>
      <c r="C24" s="41" t="s">
        <v>14</v>
      </c>
      <c r="D24" s="36" t="s">
        <v>14</v>
      </c>
      <c r="E24" s="63"/>
      <c r="F24" s="63">
        <v>258</v>
      </c>
      <c r="G24" s="63"/>
      <c r="H24" s="63">
        <v>3</v>
      </c>
      <c r="I24" s="35"/>
      <c r="J24" s="31" t="s">
        <v>163</v>
      </c>
      <c r="K24" s="11" t="s">
        <v>15</v>
      </c>
      <c r="L24" s="43"/>
      <c r="M24" s="35"/>
      <c r="N24" s="35" t="s">
        <v>160</v>
      </c>
      <c r="O24" s="31"/>
      <c r="P24" s="32"/>
      <c r="Q24" s="32"/>
      <c r="R24" s="31"/>
      <c r="S24" s="31"/>
    </row>
    <row r="25" spans="1:19" x14ac:dyDescent="0.25">
      <c r="A25" s="35">
        <v>4</v>
      </c>
      <c r="B25" s="35" t="s">
        <v>152</v>
      </c>
      <c r="C25" s="26" t="s">
        <v>191</v>
      </c>
      <c r="D25" s="35" t="s">
        <v>192</v>
      </c>
      <c r="E25" s="26"/>
      <c r="F25" s="26">
        <v>9</v>
      </c>
      <c r="G25" s="26"/>
      <c r="H25" s="26">
        <v>3</v>
      </c>
      <c r="I25" s="35"/>
      <c r="J25" s="35" t="s">
        <v>162</v>
      </c>
      <c r="K25" s="35"/>
      <c r="L25" s="35"/>
      <c r="M25" s="35"/>
      <c r="N25" s="30" t="s">
        <v>193</v>
      </c>
      <c r="O25" s="31"/>
      <c r="P25" s="32"/>
      <c r="Q25" s="32"/>
      <c r="R25" s="31"/>
      <c r="S25" s="31"/>
    </row>
    <row r="26" spans="1:19" ht="15.75" x14ac:dyDescent="0.25">
      <c r="A26" s="137">
        <v>5</v>
      </c>
      <c r="B26" s="35" t="s">
        <v>155</v>
      </c>
      <c r="C26" s="135" t="s">
        <v>8</v>
      </c>
      <c r="D26" s="36" t="s">
        <v>194</v>
      </c>
      <c r="E26" s="63"/>
      <c r="F26" s="63">
        <v>4954</v>
      </c>
      <c r="G26" s="45">
        <v>700</v>
      </c>
      <c r="H26" s="63">
        <v>171</v>
      </c>
      <c r="I26" s="35"/>
      <c r="J26" s="35" t="s">
        <v>158</v>
      </c>
      <c r="K26" s="35" t="s">
        <v>9</v>
      </c>
      <c r="L26" s="35" t="s">
        <v>195</v>
      </c>
      <c r="M26" s="35"/>
      <c r="N26" s="35" t="s">
        <v>160</v>
      </c>
      <c r="O26" s="31"/>
      <c r="P26" s="32">
        <v>2715</v>
      </c>
      <c r="Q26" s="46">
        <f>G26-P26</f>
        <v>-2015</v>
      </c>
      <c r="R26" s="31"/>
      <c r="S26" s="31"/>
    </row>
    <row r="27" spans="1:19" x14ac:dyDescent="0.25">
      <c r="A27" s="137"/>
      <c r="B27" s="35" t="s">
        <v>152</v>
      </c>
      <c r="C27" s="135"/>
      <c r="D27" s="35" t="s">
        <v>196</v>
      </c>
      <c r="E27" s="26">
        <v>25</v>
      </c>
      <c r="F27" s="26"/>
      <c r="G27" s="26"/>
      <c r="H27" s="26">
        <v>1</v>
      </c>
      <c r="I27" s="35"/>
      <c r="J27" s="35" t="s">
        <v>162</v>
      </c>
      <c r="K27" s="35"/>
      <c r="L27" s="35"/>
      <c r="M27" s="35"/>
      <c r="N27" s="35" t="s">
        <v>160</v>
      </c>
      <c r="O27" s="31"/>
      <c r="P27" s="32"/>
      <c r="Q27" s="32"/>
      <c r="R27" s="31"/>
      <c r="S27" s="31"/>
    </row>
    <row r="28" spans="1:19" x14ac:dyDescent="0.25">
      <c r="A28" s="35"/>
      <c r="B28" s="37">
        <v>2015</v>
      </c>
      <c r="C28" s="135"/>
      <c r="D28" s="47" t="s">
        <v>197</v>
      </c>
      <c r="E28" s="26">
        <v>35</v>
      </c>
      <c r="F28" s="26"/>
      <c r="G28" s="26"/>
      <c r="H28" s="26">
        <v>1</v>
      </c>
      <c r="I28" s="35"/>
      <c r="J28" s="31" t="s">
        <v>163</v>
      </c>
      <c r="K28" s="35"/>
      <c r="L28" s="35"/>
      <c r="M28" s="35"/>
      <c r="N28" s="35" t="s">
        <v>160</v>
      </c>
      <c r="O28" s="31"/>
      <c r="P28" s="32"/>
      <c r="Q28" s="32"/>
      <c r="R28" s="31"/>
      <c r="S28" s="31"/>
    </row>
    <row r="29" spans="1:19" x14ac:dyDescent="0.25">
      <c r="A29" s="35">
        <v>6</v>
      </c>
      <c r="B29" s="35" t="s">
        <v>149</v>
      </c>
      <c r="C29" s="26" t="s">
        <v>198</v>
      </c>
      <c r="D29" s="35"/>
      <c r="E29" s="26">
        <v>4</v>
      </c>
      <c r="F29" s="26"/>
      <c r="G29" s="26"/>
      <c r="H29" s="26">
        <v>1</v>
      </c>
      <c r="I29" s="35"/>
      <c r="J29" s="35"/>
      <c r="K29" s="35"/>
      <c r="L29" s="35"/>
      <c r="M29" s="35"/>
      <c r="N29" s="30"/>
      <c r="O29" s="31"/>
      <c r="P29" s="32"/>
      <c r="Q29" s="32"/>
      <c r="R29" s="31"/>
      <c r="S29" s="31"/>
    </row>
    <row r="30" spans="1:19" x14ac:dyDescent="0.25">
      <c r="A30" s="35"/>
      <c r="B30" s="35" t="s">
        <v>152</v>
      </c>
      <c r="C30" s="26" t="s">
        <v>199</v>
      </c>
      <c r="D30" s="35"/>
      <c r="E30" s="26">
        <v>20</v>
      </c>
      <c r="F30" s="26"/>
      <c r="G30" s="26"/>
      <c r="H30" s="26">
        <v>1</v>
      </c>
      <c r="I30" s="35"/>
      <c r="J30" s="35" t="s">
        <v>162</v>
      </c>
      <c r="K30" s="35"/>
      <c r="L30" s="35"/>
      <c r="M30" s="35"/>
      <c r="N30" s="30"/>
      <c r="O30" s="31"/>
      <c r="P30" s="32"/>
      <c r="Q30" s="32"/>
      <c r="R30" s="31"/>
      <c r="S30" s="31"/>
    </row>
    <row r="31" spans="1:19" x14ac:dyDescent="0.25">
      <c r="A31" s="35"/>
      <c r="B31" s="35" t="s">
        <v>149</v>
      </c>
      <c r="C31" s="26" t="s">
        <v>200</v>
      </c>
      <c r="D31" s="35"/>
      <c r="E31" s="26">
        <v>39</v>
      </c>
      <c r="F31" s="26"/>
      <c r="G31" s="26"/>
      <c r="H31" s="26">
        <v>1</v>
      </c>
      <c r="I31" s="35"/>
      <c r="J31" s="35"/>
      <c r="K31" s="35"/>
      <c r="L31" s="35"/>
      <c r="M31" s="35"/>
      <c r="N31" s="30"/>
      <c r="O31" s="31"/>
      <c r="P31" s="32"/>
      <c r="Q31" s="32"/>
      <c r="R31" s="31"/>
      <c r="S31" s="31"/>
    </row>
    <row r="32" spans="1:19" x14ac:dyDescent="0.25">
      <c r="A32" s="35"/>
      <c r="B32" s="35" t="s">
        <v>149</v>
      </c>
      <c r="C32" s="26" t="s">
        <v>200</v>
      </c>
      <c r="D32" s="35"/>
      <c r="E32" s="26">
        <v>82</v>
      </c>
      <c r="F32" s="26"/>
      <c r="G32" s="26"/>
      <c r="H32" s="26">
        <v>1</v>
      </c>
      <c r="I32" s="35"/>
      <c r="J32" s="35"/>
      <c r="K32" s="35"/>
      <c r="L32" s="35"/>
      <c r="M32" s="35"/>
      <c r="N32" s="30"/>
      <c r="O32" s="31"/>
      <c r="P32" s="32"/>
      <c r="Q32" s="32"/>
      <c r="R32" s="31"/>
      <c r="S32" s="31"/>
    </row>
    <row r="33" spans="1:19" x14ac:dyDescent="0.25">
      <c r="A33" s="35"/>
      <c r="B33" s="37">
        <v>2015</v>
      </c>
      <c r="C33" s="41" t="s">
        <v>16</v>
      </c>
      <c r="D33" s="36" t="s">
        <v>16</v>
      </c>
      <c r="E33" s="41"/>
      <c r="F33" s="41">
        <v>457</v>
      </c>
      <c r="G33" s="41"/>
      <c r="H33" s="41">
        <v>4</v>
      </c>
      <c r="I33" s="35"/>
      <c r="J33" s="31" t="s">
        <v>201</v>
      </c>
      <c r="K33" s="11" t="s">
        <v>17</v>
      </c>
      <c r="L33" s="35" t="s">
        <v>202</v>
      </c>
      <c r="M33" s="35"/>
      <c r="N33" s="35" t="s">
        <v>160</v>
      </c>
      <c r="O33" s="31"/>
      <c r="P33" s="32"/>
      <c r="Q33" s="32"/>
      <c r="R33" s="31"/>
      <c r="S33" s="31"/>
    </row>
    <row r="34" spans="1:19" x14ac:dyDescent="0.25">
      <c r="A34" s="35"/>
      <c r="B34" s="37">
        <v>2015</v>
      </c>
      <c r="C34" s="115" t="s">
        <v>108</v>
      </c>
      <c r="D34" s="116" t="s">
        <v>108</v>
      </c>
      <c r="E34" s="62">
        <v>79</v>
      </c>
      <c r="F34" s="62"/>
      <c r="G34" s="62"/>
      <c r="H34" s="62">
        <v>1</v>
      </c>
      <c r="I34" s="35"/>
      <c r="J34" s="31" t="s">
        <v>201</v>
      </c>
      <c r="K34" s="11" t="s">
        <v>109</v>
      </c>
      <c r="L34" s="35" t="s">
        <v>202</v>
      </c>
      <c r="M34" s="35"/>
      <c r="N34" s="35" t="s">
        <v>160</v>
      </c>
      <c r="O34" s="31"/>
      <c r="P34" s="32"/>
      <c r="Q34" s="32"/>
      <c r="R34" s="31"/>
      <c r="S34" s="31"/>
    </row>
    <row r="35" spans="1:19" x14ac:dyDescent="0.25">
      <c r="A35" s="35"/>
      <c r="B35" s="37">
        <v>2015</v>
      </c>
      <c r="C35" s="41" t="s">
        <v>20</v>
      </c>
      <c r="D35" s="36" t="s">
        <v>20</v>
      </c>
      <c r="E35" s="41"/>
      <c r="F35" s="41">
        <v>176</v>
      </c>
      <c r="G35" s="41"/>
      <c r="H35" s="41">
        <v>2</v>
      </c>
      <c r="I35" s="35"/>
      <c r="J35" s="31" t="s">
        <v>201</v>
      </c>
      <c r="K35" s="35" t="s">
        <v>21</v>
      </c>
      <c r="L35" s="35" t="s">
        <v>202</v>
      </c>
      <c r="M35" s="35"/>
      <c r="N35" s="35" t="s">
        <v>160</v>
      </c>
      <c r="O35" s="31"/>
      <c r="P35" s="32"/>
      <c r="Q35" s="32"/>
      <c r="R35" s="31"/>
      <c r="S35" s="31"/>
    </row>
    <row r="36" spans="1:19" x14ac:dyDescent="0.25">
      <c r="A36" s="35"/>
      <c r="B36" s="37">
        <v>2015</v>
      </c>
      <c r="C36" s="41" t="s">
        <v>22</v>
      </c>
      <c r="D36" s="36" t="s">
        <v>22</v>
      </c>
      <c r="E36" s="41"/>
      <c r="F36" s="41">
        <v>397</v>
      </c>
      <c r="G36" s="41"/>
      <c r="H36" s="41">
        <v>4</v>
      </c>
      <c r="I36" s="35"/>
      <c r="J36" s="31" t="s">
        <v>201</v>
      </c>
      <c r="K36" s="35" t="s">
        <v>23</v>
      </c>
      <c r="L36" s="35" t="s">
        <v>202</v>
      </c>
      <c r="M36" s="35"/>
      <c r="N36" s="35" t="s">
        <v>160</v>
      </c>
      <c r="O36" s="31"/>
      <c r="P36" s="32"/>
      <c r="Q36" s="32"/>
      <c r="R36" s="31"/>
      <c r="S36" s="31"/>
    </row>
    <row r="37" spans="1:19" x14ac:dyDescent="0.25">
      <c r="A37" s="35"/>
      <c r="B37" s="37">
        <v>2015</v>
      </c>
      <c r="C37" s="41" t="s">
        <v>28</v>
      </c>
      <c r="D37" s="36" t="s">
        <v>28</v>
      </c>
      <c r="E37" s="41"/>
      <c r="F37" s="41">
        <v>175</v>
      </c>
      <c r="G37" s="41"/>
      <c r="H37" s="41">
        <v>3</v>
      </c>
      <c r="I37" s="35"/>
      <c r="J37" s="31" t="s">
        <v>201</v>
      </c>
      <c r="K37" s="35" t="s">
        <v>29</v>
      </c>
      <c r="L37" s="35" t="s">
        <v>202</v>
      </c>
      <c r="M37" s="35"/>
      <c r="N37" s="35" t="s">
        <v>160</v>
      </c>
      <c r="O37" s="31"/>
      <c r="P37" s="32"/>
      <c r="Q37" s="32"/>
      <c r="R37" s="31"/>
      <c r="S37" s="31"/>
    </row>
    <row r="38" spans="1:19" x14ac:dyDescent="0.25">
      <c r="A38" s="35"/>
      <c r="B38" s="37">
        <v>2015</v>
      </c>
      <c r="C38" s="135" t="s">
        <v>203</v>
      </c>
      <c r="D38" s="38" t="s">
        <v>18</v>
      </c>
      <c r="E38" s="26">
        <v>1</v>
      </c>
      <c r="F38" s="26"/>
      <c r="G38" s="26"/>
      <c r="H38" s="26">
        <v>1</v>
      </c>
      <c r="I38" s="35"/>
      <c r="J38" s="31" t="s">
        <v>201</v>
      </c>
      <c r="K38" s="35" t="s">
        <v>19</v>
      </c>
      <c r="L38" s="35" t="s">
        <v>202</v>
      </c>
      <c r="M38" s="35"/>
      <c r="N38" s="35" t="s">
        <v>160</v>
      </c>
      <c r="O38" s="31"/>
      <c r="P38" s="32"/>
      <c r="Q38" s="32"/>
      <c r="R38" s="31"/>
      <c r="S38" s="31"/>
    </row>
    <row r="39" spans="1:19" x14ac:dyDescent="0.25">
      <c r="A39" s="35">
        <v>302</v>
      </c>
      <c r="B39" s="35" t="s">
        <v>204</v>
      </c>
      <c r="C39" s="135"/>
      <c r="D39" s="36" t="s">
        <v>205</v>
      </c>
      <c r="E39" s="41"/>
      <c r="F39" s="41">
        <v>780</v>
      </c>
      <c r="G39" s="41">
        <v>1267</v>
      </c>
      <c r="H39" s="41">
        <v>53</v>
      </c>
      <c r="I39" s="35"/>
      <c r="J39" s="35" t="s">
        <v>206</v>
      </c>
      <c r="K39" s="35" t="s">
        <v>19</v>
      </c>
      <c r="L39" s="35" t="s">
        <v>202</v>
      </c>
      <c r="M39" s="35"/>
      <c r="N39" s="35" t="s">
        <v>160</v>
      </c>
      <c r="O39" s="31"/>
      <c r="P39" s="32"/>
      <c r="Q39" s="48">
        <f>G39-P39</f>
        <v>1267</v>
      </c>
      <c r="R39" s="31"/>
      <c r="S39" s="31"/>
    </row>
    <row r="40" spans="1:19" x14ac:dyDescent="0.25">
      <c r="A40" s="35">
        <v>355</v>
      </c>
      <c r="B40" s="35" t="s">
        <v>204</v>
      </c>
      <c r="C40" s="26" t="s">
        <v>207</v>
      </c>
      <c r="D40" s="35" t="s">
        <v>208</v>
      </c>
      <c r="E40" s="26"/>
      <c r="F40" s="26">
        <v>505</v>
      </c>
      <c r="G40" s="26"/>
      <c r="H40" s="26">
        <v>28</v>
      </c>
      <c r="I40" s="35"/>
      <c r="J40" s="35" t="s">
        <v>206</v>
      </c>
      <c r="K40" s="35" t="s">
        <v>209</v>
      </c>
      <c r="L40" s="35" t="s">
        <v>202</v>
      </c>
      <c r="M40" s="35"/>
      <c r="N40" s="35" t="s">
        <v>160</v>
      </c>
      <c r="O40" s="31"/>
      <c r="P40" s="32"/>
      <c r="Q40" s="32"/>
      <c r="R40" s="31"/>
      <c r="S40" s="31"/>
    </row>
    <row r="41" spans="1:19" x14ac:dyDescent="0.25">
      <c r="A41" s="35">
        <v>383</v>
      </c>
      <c r="B41" s="35" t="s">
        <v>204</v>
      </c>
      <c r="C41" s="41" t="s">
        <v>210</v>
      </c>
      <c r="D41" s="36" t="s">
        <v>211</v>
      </c>
      <c r="E41" s="41"/>
      <c r="F41" s="41">
        <v>1860</v>
      </c>
      <c r="G41" s="41">
        <v>1530</v>
      </c>
      <c r="H41" s="41">
        <v>79</v>
      </c>
      <c r="I41" s="35"/>
      <c r="J41" s="35" t="s">
        <v>206</v>
      </c>
      <c r="K41" s="38" t="s">
        <v>212</v>
      </c>
      <c r="L41" s="35" t="s">
        <v>202</v>
      </c>
      <c r="M41" s="35"/>
      <c r="N41" s="35" t="s">
        <v>160</v>
      </c>
      <c r="O41" s="31"/>
      <c r="P41" s="32">
        <v>540</v>
      </c>
      <c r="Q41" s="48">
        <f>G41-P41</f>
        <v>990</v>
      </c>
      <c r="R41" s="31"/>
      <c r="S41" s="31"/>
    </row>
    <row r="42" spans="1:19" x14ac:dyDescent="0.25">
      <c r="A42" s="35"/>
      <c r="B42" s="37">
        <v>2015</v>
      </c>
      <c r="C42" s="135" t="s">
        <v>24</v>
      </c>
      <c r="D42" s="35" t="s">
        <v>24</v>
      </c>
      <c r="E42" s="26">
        <v>48</v>
      </c>
      <c r="F42" s="26"/>
      <c r="G42" s="26"/>
      <c r="H42" s="26">
        <v>1</v>
      </c>
      <c r="I42" s="35"/>
      <c r="J42" s="31" t="s">
        <v>201</v>
      </c>
      <c r="K42" s="38" t="s">
        <v>25</v>
      </c>
      <c r="L42" s="35" t="s">
        <v>202</v>
      </c>
      <c r="M42" s="35"/>
      <c r="N42" s="35" t="s">
        <v>160</v>
      </c>
      <c r="O42" s="31"/>
      <c r="P42" s="32"/>
      <c r="Q42" s="32"/>
      <c r="R42" s="31"/>
      <c r="S42" s="31"/>
    </row>
    <row r="43" spans="1:19" x14ac:dyDescent="0.25">
      <c r="A43" s="35">
        <v>462</v>
      </c>
      <c r="B43" s="35" t="s">
        <v>204</v>
      </c>
      <c r="C43" s="135"/>
      <c r="D43" s="36" t="s">
        <v>213</v>
      </c>
      <c r="E43" s="41"/>
      <c r="F43" s="41">
        <v>512</v>
      </c>
      <c r="G43" s="41"/>
      <c r="H43" s="41">
        <v>29</v>
      </c>
      <c r="I43" s="35"/>
      <c r="J43" s="35" t="s">
        <v>206</v>
      </c>
      <c r="K43" s="38" t="s">
        <v>25</v>
      </c>
      <c r="L43" s="35" t="s">
        <v>202</v>
      </c>
      <c r="M43" s="35"/>
      <c r="N43" s="35" t="s">
        <v>160</v>
      </c>
      <c r="O43" s="31"/>
      <c r="P43" s="32"/>
      <c r="Q43" s="32"/>
      <c r="R43" s="31"/>
      <c r="S43" s="31"/>
    </row>
    <row r="44" spans="1:19" x14ac:dyDescent="0.25">
      <c r="A44" s="35"/>
      <c r="B44" s="37">
        <v>2015</v>
      </c>
      <c r="C44" s="135" t="s">
        <v>214</v>
      </c>
      <c r="D44" s="35" t="s">
        <v>26</v>
      </c>
      <c r="E44" s="26"/>
      <c r="F44" s="26">
        <v>162</v>
      </c>
      <c r="H44" s="26">
        <v>3</v>
      </c>
      <c r="I44" s="35"/>
      <c r="J44" s="31" t="s">
        <v>201</v>
      </c>
      <c r="K44" s="35" t="s">
        <v>27</v>
      </c>
      <c r="L44" s="35" t="s">
        <v>202</v>
      </c>
      <c r="M44" s="35"/>
      <c r="N44" s="35" t="s">
        <v>160</v>
      </c>
      <c r="O44" s="31"/>
      <c r="P44" s="32"/>
      <c r="R44" s="31"/>
      <c r="S44" s="31"/>
    </row>
    <row r="45" spans="1:19" ht="15.75" x14ac:dyDescent="0.25">
      <c r="A45" s="35">
        <v>491</v>
      </c>
      <c r="B45" s="35" t="s">
        <v>204</v>
      </c>
      <c r="C45" s="135"/>
      <c r="D45" s="36" t="s">
        <v>215</v>
      </c>
      <c r="E45" s="63"/>
      <c r="F45" s="63">
        <v>708</v>
      </c>
      <c r="G45" s="63">
        <v>1450</v>
      </c>
      <c r="H45" s="63">
        <v>35</v>
      </c>
      <c r="I45" s="35"/>
      <c r="J45" s="35" t="s">
        <v>206</v>
      </c>
      <c r="K45" s="35" t="s">
        <v>27</v>
      </c>
      <c r="L45" s="35" t="s">
        <v>202</v>
      </c>
      <c r="M45" s="35"/>
      <c r="N45" s="35" t="s">
        <v>160</v>
      </c>
      <c r="O45" s="31"/>
      <c r="P45" s="32"/>
      <c r="Q45" s="48">
        <f>G45-P44</f>
        <v>1450</v>
      </c>
      <c r="R45" s="31"/>
      <c r="S45" s="31"/>
    </row>
    <row r="46" spans="1:19" ht="15.75" x14ac:dyDescent="0.25">
      <c r="A46" s="35"/>
      <c r="B46" s="37">
        <v>2015</v>
      </c>
      <c r="C46" s="135" t="s">
        <v>30</v>
      </c>
      <c r="D46" s="36" t="s">
        <v>30</v>
      </c>
      <c r="E46" s="63"/>
      <c r="F46" s="63">
        <v>952</v>
      </c>
      <c r="G46" s="63">
        <v>361</v>
      </c>
      <c r="H46" s="63">
        <v>8</v>
      </c>
      <c r="I46" s="35"/>
      <c r="J46" s="35"/>
      <c r="K46" s="35" t="s">
        <v>31</v>
      </c>
      <c r="L46" s="35" t="s">
        <v>202</v>
      </c>
      <c r="M46" s="35"/>
      <c r="N46" s="35" t="s">
        <v>160</v>
      </c>
      <c r="O46" s="31"/>
      <c r="P46" s="32">
        <v>280</v>
      </c>
      <c r="Q46" s="48">
        <f>G46-P46</f>
        <v>81</v>
      </c>
      <c r="R46" s="31"/>
      <c r="S46" s="31"/>
    </row>
    <row r="47" spans="1:19" x14ac:dyDescent="0.25">
      <c r="A47" s="31"/>
      <c r="B47" s="31" t="s">
        <v>152</v>
      </c>
      <c r="C47" s="145"/>
      <c r="D47" s="33" t="s">
        <v>216</v>
      </c>
      <c r="E47" s="32">
        <v>5</v>
      </c>
      <c r="F47" s="32"/>
      <c r="G47" s="32"/>
      <c r="H47" s="26">
        <v>1</v>
      </c>
      <c r="I47" s="31"/>
      <c r="J47" s="31" t="s">
        <v>162</v>
      </c>
      <c r="K47" s="31" t="s">
        <v>31</v>
      </c>
      <c r="L47" s="31" t="s">
        <v>217</v>
      </c>
      <c r="M47" s="33"/>
      <c r="N47" s="35" t="s">
        <v>160</v>
      </c>
      <c r="O47" s="31"/>
      <c r="P47" s="32"/>
      <c r="Q47" s="32"/>
      <c r="R47" s="31"/>
      <c r="S47" s="31"/>
    </row>
    <row r="48" spans="1:19" x14ac:dyDescent="0.25">
      <c r="A48" s="35">
        <v>526</v>
      </c>
      <c r="B48" s="35" t="s">
        <v>218</v>
      </c>
      <c r="C48" s="26" t="s">
        <v>219</v>
      </c>
      <c r="D48" s="35" t="s">
        <v>220</v>
      </c>
      <c r="E48" s="26"/>
      <c r="F48" s="26">
        <v>130</v>
      </c>
      <c r="G48" s="26"/>
      <c r="H48" s="26">
        <v>6</v>
      </c>
      <c r="I48" s="35"/>
      <c r="J48" s="35" t="s">
        <v>221</v>
      </c>
      <c r="K48" s="35"/>
      <c r="L48" s="35" t="s">
        <v>222</v>
      </c>
      <c r="M48" s="35" t="s">
        <v>223</v>
      </c>
      <c r="N48" s="30" t="s">
        <v>193</v>
      </c>
      <c r="O48" s="31"/>
      <c r="P48" s="32"/>
      <c r="Q48" s="32"/>
      <c r="R48" s="31"/>
      <c r="S48" s="31"/>
    </row>
    <row r="49" spans="1:19" x14ac:dyDescent="0.25">
      <c r="A49" s="35">
        <v>532</v>
      </c>
      <c r="B49" s="35" t="s">
        <v>218</v>
      </c>
      <c r="C49" s="136" t="s">
        <v>224</v>
      </c>
      <c r="D49" s="35" t="s">
        <v>225</v>
      </c>
      <c r="E49" s="26"/>
      <c r="F49" s="26">
        <v>258</v>
      </c>
      <c r="G49" s="26">
        <v>30</v>
      </c>
      <c r="H49" s="26">
        <v>10</v>
      </c>
      <c r="I49" s="35"/>
      <c r="J49" s="35" t="s">
        <v>221</v>
      </c>
      <c r="K49" s="35"/>
      <c r="L49" s="35"/>
      <c r="M49" s="35"/>
      <c r="N49" s="30" t="s">
        <v>193</v>
      </c>
      <c r="O49" s="31"/>
      <c r="Q49" s="48">
        <f>G49-P49</f>
        <v>30</v>
      </c>
      <c r="R49" s="31"/>
      <c r="S49" s="31"/>
    </row>
    <row r="50" spans="1:19" x14ac:dyDescent="0.25">
      <c r="A50" s="35"/>
      <c r="B50" s="35" t="s">
        <v>152</v>
      </c>
      <c r="C50" s="136"/>
      <c r="D50" s="35" t="s">
        <v>226</v>
      </c>
      <c r="E50" s="26"/>
      <c r="F50" s="49">
        <v>740</v>
      </c>
      <c r="G50" s="49">
        <v>318</v>
      </c>
      <c r="H50" s="49">
        <v>16</v>
      </c>
      <c r="I50" s="35"/>
      <c r="J50" s="35" t="s">
        <v>162</v>
      </c>
      <c r="K50" s="35"/>
      <c r="L50" s="35"/>
      <c r="M50" s="35" t="s">
        <v>227</v>
      </c>
      <c r="N50" s="30" t="s">
        <v>160</v>
      </c>
      <c r="O50" s="31"/>
      <c r="P50" s="58">
        <v>540</v>
      </c>
      <c r="Q50" s="46">
        <f>G50-P50</f>
        <v>-222</v>
      </c>
      <c r="R50" s="31"/>
      <c r="S50" s="31"/>
    </row>
    <row r="51" spans="1:19" x14ac:dyDescent="0.25">
      <c r="A51" s="31"/>
      <c r="B51" s="31" t="s">
        <v>218</v>
      </c>
      <c r="C51" s="136" t="s">
        <v>228</v>
      </c>
      <c r="D51" s="33" t="s">
        <v>229</v>
      </c>
      <c r="E51" s="32">
        <v>40</v>
      </c>
      <c r="F51" s="32"/>
      <c r="G51" s="32"/>
      <c r="H51" s="26">
        <v>1</v>
      </c>
      <c r="I51" s="31"/>
      <c r="J51" s="31" t="s">
        <v>221</v>
      </c>
      <c r="K51" s="11" t="s">
        <v>230</v>
      </c>
      <c r="L51" s="31"/>
      <c r="M51" s="31"/>
      <c r="N51" s="50"/>
      <c r="O51" s="31"/>
      <c r="P51" s="32"/>
      <c r="Q51" s="32"/>
      <c r="R51" s="31"/>
      <c r="S51" s="31"/>
    </row>
    <row r="52" spans="1:19" x14ac:dyDescent="0.25">
      <c r="A52" s="31"/>
      <c r="B52" s="31" t="s">
        <v>152</v>
      </c>
      <c r="C52" s="136"/>
      <c r="D52" s="33" t="s">
        <v>231</v>
      </c>
      <c r="E52" s="32">
        <v>18</v>
      </c>
      <c r="F52" s="32"/>
      <c r="G52" s="32"/>
      <c r="H52" s="26">
        <v>1</v>
      </c>
      <c r="I52" s="31"/>
      <c r="J52" s="31" t="s">
        <v>162</v>
      </c>
      <c r="K52" s="31"/>
      <c r="L52" s="31"/>
      <c r="M52" s="31" t="s">
        <v>232</v>
      </c>
      <c r="N52" s="50"/>
      <c r="O52" s="31"/>
      <c r="P52" s="32"/>
      <c r="Q52" s="32"/>
      <c r="R52" s="31"/>
      <c r="S52" s="31"/>
    </row>
    <row r="53" spans="1:19" x14ac:dyDescent="0.25">
      <c r="A53" s="31"/>
      <c r="B53" s="31" t="s">
        <v>149</v>
      </c>
      <c r="C53" s="136"/>
      <c r="D53" s="33" t="s">
        <v>233</v>
      </c>
      <c r="E53" s="32">
        <v>35</v>
      </c>
      <c r="F53" s="32"/>
      <c r="G53" s="32"/>
      <c r="H53" s="26">
        <v>1</v>
      </c>
      <c r="I53" s="31"/>
      <c r="J53" s="31"/>
      <c r="K53" s="31"/>
      <c r="L53" s="31"/>
      <c r="M53" s="31"/>
      <c r="N53" s="50"/>
      <c r="O53" s="31"/>
      <c r="P53" s="32"/>
      <c r="Q53" s="32"/>
      <c r="R53" s="31"/>
      <c r="S53" s="31"/>
    </row>
    <row r="54" spans="1:19" x14ac:dyDescent="0.25">
      <c r="A54" s="35"/>
      <c r="B54" s="31" t="s">
        <v>234</v>
      </c>
      <c r="C54" s="136"/>
      <c r="D54" s="33" t="s">
        <v>235</v>
      </c>
      <c r="E54" s="26"/>
      <c r="F54" s="26">
        <v>370</v>
      </c>
      <c r="G54" s="26"/>
      <c r="H54" s="26">
        <v>7</v>
      </c>
      <c r="I54" s="35"/>
      <c r="J54" s="31" t="s">
        <v>236</v>
      </c>
      <c r="K54" s="35"/>
      <c r="L54" s="35"/>
      <c r="M54" s="35"/>
      <c r="N54" s="30" t="s">
        <v>193</v>
      </c>
      <c r="O54" s="31"/>
      <c r="P54" s="32"/>
      <c r="Q54" s="32"/>
      <c r="R54" s="31"/>
      <c r="S54" s="31"/>
    </row>
    <row r="55" spans="1:19" x14ac:dyDescent="0.25">
      <c r="A55" s="35"/>
      <c r="B55" s="31" t="s">
        <v>218</v>
      </c>
      <c r="C55" s="136"/>
      <c r="D55" s="35" t="s">
        <v>237</v>
      </c>
      <c r="E55" s="26"/>
      <c r="F55" s="26">
        <v>650</v>
      </c>
      <c r="G55" s="26">
        <v>109</v>
      </c>
      <c r="H55" s="26">
        <v>34</v>
      </c>
      <c r="I55" s="35"/>
      <c r="J55" s="31" t="s">
        <v>221</v>
      </c>
      <c r="K55" s="35"/>
      <c r="L55" s="35"/>
      <c r="M55" s="35"/>
      <c r="N55" s="30" t="s">
        <v>193</v>
      </c>
      <c r="O55" s="31"/>
      <c r="P55" s="32"/>
      <c r="Q55" s="48">
        <f>G55-P55</f>
        <v>109</v>
      </c>
      <c r="R55" s="31"/>
      <c r="S55" s="31"/>
    </row>
    <row r="56" spans="1:19" x14ac:dyDescent="0.25">
      <c r="A56" s="35"/>
      <c r="B56" s="31" t="s">
        <v>152</v>
      </c>
      <c r="C56" s="136"/>
      <c r="D56" s="35" t="s">
        <v>238</v>
      </c>
      <c r="E56" s="26"/>
      <c r="F56" s="49">
        <v>704</v>
      </c>
      <c r="G56" s="49">
        <v>510</v>
      </c>
      <c r="H56" s="49">
        <v>34</v>
      </c>
      <c r="I56" s="35"/>
      <c r="J56" s="35" t="s">
        <v>162</v>
      </c>
      <c r="K56" s="35"/>
      <c r="L56" s="35"/>
      <c r="M56" s="35" t="s">
        <v>227</v>
      </c>
      <c r="N56" s="30" t="s">
        <v>160</v>
      </c>
      <c r="O56" s="31"/>
      <c r="P56" s="32">
        <v>497</v>
      </c>
      <c r="Q56" s="48">
        <f>G56-P56</f>
        <v>13</v>
      </c>
      <c r="R56" s="31"/>
      <c r="S56" s="31"/>
    </row>
    <row r="57" spans="1:19" x14ac:dyDescent="0.25">
      <c r="A57" s="31"/>
      <c r="B57" s="31" t="s">
        <v>239</v>
      </c>
      <c r="C57" s="32" t="s">
        <v>240</v>
      </c>
      <c r="D57" s="33" t="s">
        <v>241</v>
      </c>
      <c r="E57" s="32"/>
      <c r="F57" s="72">
        <v>559</v>
      </c>
      <c r="G57" s="32"/>
      <c r="H57" s="26">
        <v>16</v>
      </c>
      <c r="I57" s="31"/>
      <c r="J57" s="31" t="s">
        <v>242</v>
      </c>
      <c r="K57" s="31"/>
      <c r="L57" s="31"/>
      <c r="M57" s="51" t="s">
        <v>243</v>
      </c>
      <c r="N57" s="30" t="s">
        <v>193</v>
      </c>
      <c r="O57" s="31"/>
      <c r="P57" s="32"/>
      <c r="Q57" s="32"/>
      <c r="R57" s="31"/>
      <c r="S57" s="31"/>
    </row>
    <row r="58" spans="1:19" x14ac:dyDescent="0.25">
      <c r="A58" s="31"/>
      <c r="B58" s="31" t="s">
        <v>239</v>
      </c>
      <c r="C58" s="32" t="s">
        <v>244</v>
      </c>
      <c r="D58" s="33" t="s">
        <v>245</v>
      </c>
      <c r="E58" s="32"/>
      <c r="F58" s="72">
        <v>464</v>
      </c>
      <c r="G58" s="32"/>
      <c r="H58" s="26">
        <v>18</v>
      </c>
      <c r="I58" s="31"/>
      <c r="J58" s="31" t="s">
        <v>242</v>
      </c>
      <c r="K58" s="31"/>
      <c r="L58" s="31"/>
      <c r="M58" s="51" t="s">
        <v>246</v>
      </c>
      <c r="N58" s="30" t="s">
        <v>193</v>
      </c>
      <c r="O58" s="31"/>
      <c r="P58" s="32"/>
      <c r="Q58" s="32"/>
      <c r="R58" s="31"/>
      <c r="S58" s="31"/>
    </row>
    <row r="59" spans="1:19" x14ac:dyDescent="0.25">
      <c r="A59" s="31"/>
      <c r="B59" s="31" t="s">
        <v>239</v>
      </c>
      <c r="C59" s="32" t="s">
        <v>247</v>
      </c>
      <c r="D59" s="33" t="s">
        <v>248</v>
      </c>
      <c r="E59" s="32"/>
      <c r="F59" s="72">
        <v>1199</v>
      </c>
      <c r="G59" s="32"/>
      <c r="H59" s="26">
        <v>41</v>
      </c>
      <c r="I59" s="31"/>
      <c r="J59" s="31" t="s">
        <v>242</v>
      </c>
      <c r="K59" s="31"/>
      <c r="L59" s="31"/>
      <c r="M59" s="51" t="s">
        <v>249</v>
      </c>
      <c r="N59" s="30" t="s">
        <v>193</v>
      </c>
      <c r="O59" s="31"/>
      <c r="P59" s="32"/>
      <c r="Q59" s="32"/>
      <c r="R59" s="31"/>
      <c r="S59" s="31"/>
    </row>
    <row r="60" spans="1:19" x14ac:dyDescent="0.25">
      <c r="A60" s="31"/>
      <c r="B60" s="37">
        <v>2015</v>
      </c>
      <c r="C60" s="32" t="s">
        <v>250</v>
      </c>
      <c r="D60" s="33" t="s">
        <v>250</v>
      </c>
      <c r="E60" s="32">
        <v>53</v>
      </c>
      <c r="F60" s="72"/>
      <c r="G60" s="32"/>
      <c r="H60" s="26">
        <v>1</v>
      </c>
      <c r="I60" s="31"/>
      <c r="J60" s="31"/>
      <c r="K60" s="31" t="s">
        <v>251</v>
      </c>
      <c r="L60" s="52" t="s">
        <v>217</v>
      </c>
      <c r="M60" s="51"/>
      <c r="N60" s="35" t="s">
        <v>160</v>
      </c>
      <c r="O60" s="31"/>
      <c r="P60" s="32"/>
      <c r="Q60" s="32"/>
      <c r="R60" s="31"/>
      <c r="S60" s="31"/>
    </row>
    <row r="61" spans="1:19" x14ac:dyDescent="0.25">
      <c r="A61" s="31"/>
      <c r="B61" s="37">
        <v>2015</v>
      </c>
      <c r="C61" s="136" t="s">
        <v>252</v>
      </c>
      <c r="D61" s="33" t="s">
        <v>253</v>
      </c>
      <c r="E61" s="32"/>
      <c r="F61" s="72">
        <v>336</v>
      </c>
      <c r="G61" s="32">
        <v>274</v>
      </c>
      <c r="H61" s="26">
        <v>4</v>
      </c>
      <c r="I61" s="31"/>
      <c r="J61" s="31"/>
      <c r="K61" s="31" t="s">
        <v>254</v>
      </c>
      <c r="L61" s="52" t="s">
        <v>217</v>
      </c>
      <c r="M61" s="51"/>
      <c r="N61" s="35" t="s">
        <v>160</v>
      </c>
      <c r="O61" s="31"/>
      <c r="P61" s="32">
        <v>271</v>
      </c>
      <c r="Q61" s="48">
        <f>G61-P61</f>
        <v>3</v>
      </c>
      <c r="R61" s="31"/>
      <c r="S61" s="31"/>
    </row>
    <row r="62" spans="1:19" x14ac:dyDescent="0.25">
      <c r="A62" s="31"/>
      <c r="B62" s="31" t="s">
        <v>152</v>
      </c>
      <c r="C62" s="136"/>
      <c r="D62" s="33" t="s">
        <v>255</v>
      </c>
      <c r="E62" s="32">
        <v>19</v>
      </c>
      <c r="F62" s="32"/>
      <c r="G62" s="32"/>
      <c r="H62" s="26">
        <v>1</v>
      </c>
      <c r="I62" s="31"/>
      <c r="J62" s="31" t="s">
        <v>162</v>
      </c>
      <c r="K62" s="31" t="s">
        <v>254</v>
      </c>
      <c r="L62" s="31" t="s">
        <v>217</v>
      </c>
      <c r="M62" s="31"/>
      <c r="N62" s="35" t="s">
        <v>160</v>
      </c>
      <c r="O62" s="31"/>
      <c r="P62" s="32"/>
      <c r="Q62" s="32"/>
      <c r="R62" s="31"/>
      <c r="S62" s="31"/>
    </row>
    <row r="63" spans="1:19" x14ac:dyDescent="0.25">
      <c r="A63" s="31"/>
      <c r="B63" s="37">
        <v>2015</v>
      </c>
      <c r="C63" s="26" t="s">
        <v>256</v>
      </c>
      <c r="D63" s="33" t="s">
        <v>256</v>
      </c>
      <c r="E63" s="32">
        <v>62</v>
      </c>
      <c r="F63" s="32"/>
      <c r="G63" s="32"/>
      <c r="H63" s="26">
        <v>1</v>
      </c>
      <c r="I63" s="31"/>
      <c r="J63" s="31"/>
      <c r="K63" s="31" t="s">
        <v>257</v>
      </c>
      <c r="L63" s="31" t="s">
        <v>217</v>
      </c>
      <c r="M63" s="31"/>
      <c r="N63" s="35" t="s">
        <v>160</v>
      </c>
      <c r="O63" s="31"/>
      <c r="P63" s="32"/>
      <c r="Q63" s="32"/>
      <c r="R63" s="31"/>
      <c r="S63" s="31"/>
    </row>
    <row r="64" spans="1:19" x14ac:dyDescent="0.25">
      <c r="A64" s="31"/>
      <c r="B64" s="37">
        <v>2015</v>
      </c>
      <c r="C64" s="135" t="s">
        <v>258</v>
      </c>
      <c r="D64" s="38" t="s">
        <v>258</v>
      </c>
      <c r="E64" s="32">
        <v>123</v>
      </c>
      <c r="F64" s="32"/>
      <c r="G64" s="32"/>
      <c r="H64" s="26">
        <v>1</v>
      </c>
      <c r="I64" s="31"/>
      <c r="J64" s="31"/>
      <c r="K64" s="31" t="s">
        <v>33</v>
      </c>
      <c r="L64" s="31" t="s">
        <v>217</v>
      </c>
      <c r="M64" s="31"/>
      <c r="N64" s="35" t="s">
        <v>160</v>
      </c>
      <c r="O64" s="31"/>
      <c r="P64" s="32"/>
      <c r="Q64" s="32"/>
      <c r="R64" s="31"/>
      <c r="S64" s="31"/>
    </row>
    <row r="65" spans="1:19" x14ac:dyDescent="0.25">
      <c r="A65" s="31"/>
      <c r="B65" s="31" t="s">
        <v>155</v>
      </c>
      <c r="C65" s="135"/>
      <c r="D65" s="53" t="s">
        <v>259</v>
      </c>
      <c r="E65" s="54"/>
      <c r="F65" s="41">
        <v>2752</v>
      </c>
      <c r="G65" s="54">
        <v>2195</v>
      </c>
      <c r="H65" s="41">
        <v>101</v>
      </c>
      <c r="I65" s="31"/>
      <c r="J65" s="31" t="s">
        <v>158</v>
      </c>
      <c r="K65" s="31" t="s">
        <v>33</v>
      </c>
      <c r="L65" s="31" t="s">
        <v>217</v>
      </c>
      <c r="M65" s="31"/>
      <c r="N65" s="35" t="s">
        <v>160</v>
      </c>
      <c r="O65" s="31"/>
      <c r="P65" s="32">
        <v>540</v>
      </c>
      <c r="Q65" s="48">
        <f>G65-P65</f>
        <v>1655</v>
      </c>
      <c r="R65" s="31"/>
      <c r="S65" s="31"/>
    </row>
    <row r="66" spans="1:19" x14ac:dyDescent="0.25">
      <c r="A66" s="31"/>
      <c r="B66" s="37">
        <v>2015</v>
      </c>
      <c r="C66" s="135" t="s">
        <v>260</v>
      </c>
      <c r="D66" s="53" t="s">
        <v>261</v>
      </c>
      <c r="E66" s="54"/>
      <c r="F66" s="41">
        <v>228</v>
      </c>
      <c r="G66" s="54"/>
      <c r="H66" s="41">
        <v>4</v>
      </c>
      <c r="I66" s="31"/>
      <c r="J66" s="31"/>
      <c r="K66" s="31" t="s">
        <v>35</v>
      </c>
      <c r="L66" s="31" t="s">
        <v>217</v>
      </c>
      <c r="M66" s="31"/>
      <c r="N66" s="35" t="s">
        <v>160</v>
      </c>
      <c r="O66" s="31"/>
      <c r="P66" s="32"/>
      <c r="Q66" s="32"/>
      <c r="R66" s="31"/>
      <c r="S66" s="31"/>
    </row>
    <row r="67" spans="1:19" x14ac:dyDescent="0.25">
      <c r="A67" s="31"/>
      <c r="B67" s="31" t="s">
        <v>152</v>
      </c>
      <c r="C67" s="146"/>
      <c r="D67" s="33" t="s">
        <v>262</v>
      </c>
      <c r="E67" s="32">
        <v>11</v>
      </c>
      <c r="F67" s="32"/>
      <c r="G67" s="32"/>
      <c r="H67" s="26">
        <v>1</v>
      </c>
      <c r="I67" s="31"/>
      <c r="J67" s="31" t="s">
        <v>162</v>
      </c>
      <c r="K67" s="31" t="s">
        <v>35</v>
      </c>
      <c r="L67" s="31" t="s">
        <v>217</v>
      </c>
      <c r="M67" s="31"/>
      <c r="N67" s="35" t="s">
        <v>160</v>
      </c>
      <c r="O67" s="31"/>
      <c r="P67" s="32"/>
      <c r="Q67" s="32"/>
      <c r="R67" s="31"/>
      <c r="S67" s="31"/>
    </row>
    <row r="68" spans="1:19" x14ac:dyDescent="0.25">
      <c r="A68" s="31"/>
      <c r="B68" s="37">
        <v>2015</v>
      </c>
      <c r="C68" s="26" t="s">
        <v>263</v>
      </c>
      <c r="D68" s="33" t="s">
        <v>263</v>
      </c>
      <c r="E68" s="32"/>
      <c r="F68" s="32">
        <v>89</v>
      </c>
      <c r="G68" s="32"/>
      <c r="H68" s="26">
        <v>3</v>
      </c>
      <c r="I68" s="31"/>
      <c r="J68" s="31"/>
      <c r="K68" s="31" t="s">
        <v>264</v>
      </c>
      <c r="L68" s="31" t="s">
        <v>217</v>
      </c>
      <c r="M68" s="31"/>
      <c r="N68" s="35" t="s">
        <v>160</v>
      </c>
      <c r="O68" s="31"/>
      <c r="P68" s="32"/>
      <c r="Q68" s="32"/>
      <c r="R68" s="31"/>
      <c r="S68" s="31"/>
    </row>
    <row r="69" spans="1:19" x14ac:dyDescent="0.25">
      <c r="A69" s="31"/>
      <c r="B69" s="37">
        <v>2015</v>
      </c>
      <c r="C69" s="26" t="s">
        <v>265</v>
      </c>
      <c r="D69" s="33" t="s">
        <v>265</v>
      </c>
      <c r="E69" s="32"/>
      <c r="F69" s="32">
        <v>129</v>
      </c>
      <c r="G69" s="32"/>
      <c r="H69" s="26">
        <v>3</v>
      </c>
      <c r="I69" s="31"/>
      <c r="J69" s="31"/>
      <c r="K69" s="31" t="s">
        <v>266</v>
      </c>
      <c r="L69" s="31" t="s">
        <v>217</v>
      </c>
      <c r="M69" s="31"/>
      <c r="N69" s="35" t="s">
        <v>160</v>
      </c>
      <c r="O69" s="31"/>
      <c r="P69" s="32"/>
      <c r="Q69" s="32"/>
      <c r="R69" s="31"/>
      <c r="S69" s="31"/>
    </row>
    <row r="70" spans="1:19" x14ac:dyDescent="0.25">
      <c r="A70" s="31"/>
      <c r="B70" s="37">
        <v>2015</v>
      </c>
      <c r="C70" s="135" t="s">
        <v>267</v>
      </c>
      <c r="D70" s="53" t="s">
        <v>268</v>
      </c>
      <c r="E70" s="54"/>
      <c r="F70" s="54">
        <v>507</v>
      </c>
      <c r="G70" s="54">
        <v>355</v>
      </c>
      <c r="H70" s="41">
        <v>4</v>
      </c>
      <c r="I70" s="31"/>
      <c r="J70" s="31"/>
      <c r="K70" s="31" t="s">
        <v>37</v>
      </c>
      <c r="L70" s="31" t="s">
        <v>217</v>
      </c>
      <c r="M70" s="31"/>
      <c r="N70" s="35" t="s">
        <v>160</v>
      </c>
      <c r="O70" s="31"/>
      <c r="P70" s="32">
        <v>285</v>
      </c>
      <c r="Q70" s="48">
        <f>G70-P70</f>
        <v>70</v>
      </c>
      <c r="R70" s="31"/>
      <c r="S70" s="31"/>
    </row>
    <row r="71" spans="1:19" x14ac:dyDescent="0.25">
      <c r="A71" s="31"/>
      <c r="B71" s="31" t="s">
        <v>152</v>
      </c>
      <c r="C71" s="146"/>
      <c r="D71" s="55" t="s">
        <v>269</v>
      </c>
      <c r="E71" s="56"/>
      <c r="F71" s="42">
        <v>491</v>
      </c>
      <c r="G71" s="56"/>
      <c r="H71" s="57">
        <v>7</v>
      </c>
      <c r="I71" s="31"/>
      <c r="J71" s="31" t="s">
        <v>162</v>
      </c>
      <c r="K71" s="31" t="s">
        <v>37</v>
      </c>
      <c r="L71" s="31" t="s">
        <v>217</v>
      </c>
      <c r="M71" s="31"/>
      <c r="N71" s="35" t="s">
        <v>160</v>
      </c>
      <c r="O71" s="31"/>
      <c r="P71" s="32"/>
      <c r="Q71" s="32"/>
      <c r="R71" s="31"/>
      <c r="S71" s="31"/>
    </row>
    <row r="72" spans="1:19" x14ac:dyDescent="0.25">
      <c r="A72" s="31"/>
      <c r="B72" s="31" t="s">
        <v>152</v>
      </c>
      <c r="C72" s="136" t="s">
        <v>270</v>
      </c>
      <c r="D72" s="33" t="s">
        <v>271</v>
      </c>
      <c r="E72" s="32"/>
      <c r="F72" s="72">
        <v>243</v>
      </c>
      <c r="G72" s="142">
        <v>430</v>
      </c>
      <c r="H72" s="26">
        <v>3</v>
      </c>
      <c r="I72" s="31"/>
      <c r="J72" s="31" t="s">
        <v>162</v>
      </c>
      <c r="K72" s="31"/>
      <c r="L72" s="31" t="s">
        <v>272</v>
      </c>
      <c r="M72" s="31" t="s">
        <v>227</v>
      </c>
      <c r="N72" s="30" t="s">
        <v>193</v>
      </c>
      <c r="O72" s="31"/>
      <c r="P72" s="139">
        <v>428</v>
      </c>
      <c r="Q72" s="139">
        <f>G72-P72</f>
        <v>2</v>
      </c>
      <c r="R72" s="31"/>
      <c r="S72" s="31"/>
    </row>
    <row r="73" spans="1:19" x14ac:dyDescent="0.25">
      <c r="A73" s="32">
        <v>819</v>
      </c>
      <c r="B73" s="31" t="s">
        <v>152</v>
      </c>
      <c r="C73" s="136"/>
      <c r="D73" s="33" t="s">
        <v>273</v>
      </c>
      <c r="E73" s="39"/>
      <c r="F73" s="72">
        <v>920</v>
      </c>
      <c r="G73" s="143"/>
      <c r="H73" s="72">
        <v>28</v>
      </c>
      <c r="I73" s="31"/>
      <c r="J73" s="31" t="s">
        <v>162</v>
      </c>
      <c r="K73" s="31"/>
      <c r="L73" s="31" t="s">
        <v>272</v>
      </c>
      <c r="M73" s="31" t="s">
        <v>227</v>
      </c>
      <c r="N73" s="30" t="s">
        <v>160</v>
      </c>
      <c r="O73" s="31"/>
      <c r="P73" s="140"/>
      <c r="Q73" s="140"/>
      <c r="R73" s="31"/>
      <c r="S73" s="31"/>
    </row>
    <row r="74" spans="1:19" x14ac:dyDescent="0.25">
      <c r="A74" s="31"/>
      <c r="B74" s="31" t="s">
        <v>152</v>
      </c>
      <c r="C74" s="136"/>
      <c r="D74" s="33" t="s">
        <v>274</v>
      </c>
      <c r="E74" s="32"/>
      <c r="F74" s="72">
        <v>46</v>
      </c>
      <c r="G74" s="144"/>
      <c r="H74" s="26">
        <v>4</v>
      </c>
      <c r="I74" s="31"/>
      <c r="J74" s="31" t="s">
        <v>162</v>
      </c>
      <c r="K74" s="31"/>
      <c r="L74" s="31" t="s">
        <v>272</v>
      </c>
      <c r="M74" s="31" t="s">
        <v>227</v>
      </c>
      <c r="N74" s="30" t="s">
        <v>160</v>
      </c>
      <c r="O74" s="31"/>
      <c r="P74" s="141"/>
      <c r="Q74" s="141"/>
      <c r="R74" s="31"/>
      <c r="S74" s="31"/>
    </row>
    <row r="75" spans="1:19" x14ac:dyDescent="0.25">
      <c r="A75" s="31"/>
      <c r="B75" s="31" t="s">
        <v>234</v>
      </c>
      <c r="C75" s="136"/>
      <c r="D75" s="33" t="s">
        <v>275</v>
      </c>
      <c r="E75" s="32"/>
      <c r="F75" s="72">
        <v>103</v>
      </c>
      <c r="G75" s="32"/>
      <c r="H75" s="26">
        <v>5</v>
      </c>
      <c r="I75" s="31"/>
      <c r="J75" s="31" t="s">
        <v>236</v>
      </c>
      <c r="K75" s="31"/>
      <c r="L75" s="31" t="s">
        <v>272</v>
      </c>
      <c r="M75" s="31"/>
      <c r="N75" s="30" t="s">
        <v>193</v>
      </c>
      <c r="O75" s="31"/>
      <c r="P75" s="32"/>
      <c r="Q75" s="32"/>
      <c r="R75" s="31"/>
      <c r="S75" s="31"/>
    </row>
    <row r="76" spans="1:19" x14ac:dyDescent="0.25">
      <c r="A76" s="31"/>
      <c r="B76" s="31" t="s">
        <v>218</v>
      </c>
      <c r="C76" s="136"/>
      <c r="D76" s="33" t="s">
        <v>276</v>
      </c>
      <c r="E76" s="32"/>
      <c r="F76" s="72">
        <v>87</v>
      </c>
      <c r="G76" s="142">
        <v>302</v>
      </c>
      <c r="H76" s="26">
        <v>6</v>
      </c>
      <c r="I76" s="31"/>
      <c r="J76" s="31" t="s">
        <v>221</v>
      </c>
      <c r="K76" s="31"/>
      <c r="L76" s="31" t="s">
        <v>272</v>
      </c>
      <c r="M76" s="31"/>
      <c r="N76" s="30" t="s">
        <v>193</v>
      </c>
      <c r="O76" s="31"/>
      <c r="P76" s="139">
        <v>272</v>
      </c>
      <c r="Q76" s="139">
        <f>G76-P76</f>
        <v>30</v>
      </c>
      <c r="R76" s="31"/>
      <c r="S76" s="31"/>
    </row>
    <row r="77" spans="1:19" x14ac:dyDescent="0.25">
      <c r="A77" s="31"/>
      <c r="B77" s="31" t="s">
        <v>218</v>
      </c>
      <c r="C77" s="136"/>
      <c r="D77" s="33" t="s">
        <v>277</v>
      </c>
      <c r="E77" s="32"/>
      <c r="F77" s="72">
        <v>212</v>
      </c>
      <c r="G77" s="143"/>
      <c r="H77" s="26">
        <v>8</v>
      </c>
      <c r="I77" s="31"/>
      <c r="J77" s="31" t="s">
        <v>221</v>
      </c>
      <c r="K77" s="31"/>
      <c r="L77" s="31" t="s">
        <v>272</v>
      </c>
      <c r="M77" s="31"/>
      <c r="N77" s="30" t="s">
        <v>193</v>
      </c>
      <c r="O77" s="31"/>
      <c r="P77" s="140"/>
      <c r="Q77" s="140"/>
      <c r="R77" s="31"/>
      <c r="S77" s="31"/>
    </row>
    <row r="78" spans="1:19" x14ac:dyDescent="0.25">
      <c r="A78" s="31"/>
      <c r="B78" s="31" t="s">
        <v>218</v>
      </c>
      <c r="C78" s="136"/>
      <c r="D78" s="33" t="s">
        <v>278</v>
      </c>
      <c r="E78" s="32">
        <v>16</v>
      </c>
      <c r="F78" s="32"/>
      <c r="G78" s="143"/>
      <c r="H78" s="26">
        <v>1</v>
      </c>
      <c r="I78" s="31"/>
      <c r="J78" s="31" t="s">
        <v>221</v>
      </c>
      <c r="K78" s="31"/>
      <c r="L78" s="31" t="s">
        <v>272</v>
      </c>
      <c r="M78" s="31"/>
      <c r="N78" s="30" t="s">
        <v>193</v>
      </c>
      <c r="O78" s="31"/>
      <c r="P78" s="140"/>
      <c r="Q78" s="140"/>
      <c r="R78" s="31"/>
      <c r="S78" s="31"/>
    </row>
    <row r="79" spans="1:19" x14ac:dyDescent="0.25">
      <c r="A79" s="31"/>
      <c r="B79" s="31" t="s">
        <v>218</v>
      </c>
      <c r="C79" s="136"/>
      <c r="D79" s="33" t="s">
        <v>279</v>
      </c>
      <c r="E79" s="32"/>
      <c r="F79" s="72">
        <v>128</v>
      </c>
      <c r="G79" s="143"/>
      <c r="H79" s="26">
        <v>6</v>
      </c>
      <c r="I79" s="31"/>
      <c r="J79" s="31" t="s">
        <v>221</v>
      </c>
      <c r="K79" s="31"/>
      <c r="L79" s="31" t="s">
        <v>272</v>
      </c>
      <c r="M79" s="31"/>
      <c r="N79" s="30" t="s">
        <v>193</v>
      </c>
      <c r="O79" s="31"/>
      <c r="P79" s="140"/>
      <c r="Q79" s="140"/>
      <c r="R79" s="31"/>
      <c r="S79" s="31"/>
    </row>
    <row r="80" spans="1:19" x14ac:dyDescent="0.25">
      <c r="A80" s="31"/>
      <c r="B80" s="31" t="s">
        <v>218</v>
      </c>
      <c r="C80" s="136"/>
      <c r="D80" s="33" t="s">
        <v>280</v>
      </c>
      <c r="E80" s="32"/>
      <c r="F80" s="72">
        <v>116</v>
      </c>
      <c r="G80" s="144"/>
      <c r="H80" s="26">
        <v>3</v>
      </c>
      <c r="I80" s="31"/>
      <c r="J80" s="31" t="s">
        <v>221</v>
      </c>
      <c r="K80" s="31"/>
      <c r="L80" s="31" t="s">
        <v>272</v>
      </c>
      <c r="M80" s="31"/>
      <c r="N80" s="30" t="s">
        <v>193</v>
      </c>
      <c r="O80" s="31"/>
      <c r="P80" s="141"/>
      <c r="Q80" s="141"/>
      <c r="R80" s="31"/>
      <c r="S80" s="31"/>
    </row>
    <row r="81" spans="1:19" x14ac:dyDescent="0.25">
      <c r="A81" s="31"/>
      <c r="B81" s="31" t="s">
        <v>152</v>
      </c>
      <c r="C81" s="136" t="s">
        <v>281</v>
      </c>
      <c r="D81" s="33" t="s">
        <v>282</v>
      </c>
      <c r="E81" s="32"/>
      <c r="F81" s="72">
        <v>42</v>
      </c>
      <c r="G81" s="32"/>
      <c r="H81" s="26">
        <v>4</v>
      </c>
      <c r="I81" s="31"/>
      <c r="J81" s="31" t="s">
        <v>162</v>
      </c>
      <c r="K81" s="31"/>
      <c r="L81" s="31" t="s">
        <v>272</v>
      </c>
      <c r="M81" s="31"/>
      <c r="N81" s="30" t="s">
        <v>193</v>
      </c>
      <c r="O81" s="31"/>
      <c r="P81" s="32"/>
      <c r="Q81" s="32"/>
      <c r="R81" s="31"/>
      <c r="S81" s="31"/>
    </row>
    <row r="82" spans="1:19" x14ac:dyDescent="0.25">
      <c r="A82" s="31"/>
      <c r="B82" s="31" t="s">
        <v>152</v>
      </c>
      <c r="C82" s="136"/>
      <c r="D82" s="33" t="s">
        <v>283</v>
      </c>
      <c r="E82" s="39"/>
      <c r="F82" s="72">
        <v>725</v>
      </c>
      <c r="G82" s="39"/>
      <c r="H82" s="72">
        <v>55</v>
      </c>
      <c r="I82" s="31"/>
      <c r="J82" s="31" t="s">
        <v>162</v>
      </c>
      <c r="K82" s="31"/>
      <c r="L82" s="31" t="s">
        <v>272</v>
      </c>
      <c r="M82" s="31" t="s">
        <v>284</v>
      </c>
      <c r="N82" s="30" t="s">
        <v>160</v>
      </c>
      <c r="O82" s="31"/>
      <c r="P82" s="32"/>
      <c r="Q82" s="32"/>
      <c r="R82" s="31"/>
      <c r="S82" s="31"/>
    </row>
    <row r="83" spans="1:19" x14ac:dyDescent="0.25">
      <c r="A83" s="31"/>
      <c r="B83" s="31" t="s">
        <v>152</v>
      </c>
      <c r="C83" s="135" t="s">
        <v>285</v>
      </c>
      <c r="D83" s="53" t="s">
        <v>286</v>
      </c>
      <c r="E83" s="54"/>
      <c r="F83" s="41">
        <v>718</v>
      </c>
      <c r="G83" s="54"/>
      <c r="H83" s="41">
        <v>35</v>
      </c>
      <c r="I83" s="31"/>
      <c r="J83" s="31" t="s">
        <v>162</v>
      </c>
      <c r="K83" s="31"/>
      <c r="L83" s="31"/>
      <c r="M83" s="31"/>
      <c r="N83" s="30" t="s">
        <v>160</v>
      </c>
      <c r="O83" s="31"/>
      <c r="P83" s="32"/>
      <c r="Q83" s="32"/>
      <c r="R83" s="31"/>
      <c r="S83" s="31"/>
    </row>
    <row r="84" spans="1:19" x14ac:dyDescent="0.25">
      <c r="A84" s="32">
        <v>1025</v>
      </c>
      <c r="B84" s="31" t="s">
        <v>152</v>
      </c>
      <c r="C84" s="135"/>
      <c r="D84" s="33" t="s">
        <v>287</v>
      </c>
      <c r="E84" s="32">
        <v>36</v>
      </c>
      <c r="F84" s="32"/>
      <c r="G84" s="32"/>
      <c r="H84" s="26">
        <v>1</v>
      </c>
      <c r="I84" s="31"/>
      <c r="J84" s="31" t="s">
        <v>162</v>
      </c>
      <c r="K84" s="31"/>
      <c r="L84" s="31"/>
      <c r="M84" s="31" t="s">
        <v>288</v>
      </c>
      <c r="N84" s="30" t="s">
        <v>289</v>
      </c>
      <c r="O84" s="31"/>
      <c r="P84" s="32"/>
      <c r="Q84" s="32"/>
      <c r="R84" s="31"/>
      <c r="S84" s="31"/>
    </row>
    <row r="85" spans="1:19" x14ac:dyDescent="0.25">
      <c r="A85" s="32">
        <v>940</v>
      </c>
      <c r="B85" s="31" t="s">
        <v>152</v>
      </c>
      <c r="C85" s="135" t="s">
        <v>290</v>
      </c>
      <c r="D85" s="33" t="s">
        <v>291</v>
      </c>
      <c r="E85" s="32">
        <v>42</v>
      </c>
      <c r="F85" s="32"/>
      <c r="G85" s="32"/>
      <c r="H85" s="26"/>
      <c r="I85" s="31"/>
      <c r="J85" s="31" t="s">
        <v>162</v>
      </c>
      <c r="K85" s="31"/>
      <c r="L85" s="31" t="s">
        <v>272</v>
      </c>
      <c r="M85" s="31" t="s">
        <v>292</v>
      </c>
      <c r="N85" s="30" t="s">
        <v>289</v>
      </c>
      <c r="O85" s="31"/>
      <c r="P85" s="32"/>
      <c r="Q85" s="32"/>
      <c r="R85" s="31"/>
      <c r="S85" s="31"/>
    </row>
    <row r="86" spans="1:19" x14ac:dyDescent="0.25">
      <c r="A86" s="32">
        <v>979</v>
      </c>
      <c r="B86" s="31" t="s">
        <v>152</v>
      </c>
      <c r="C86" s="135"/>
      <c r="D86" s="33" t="s">
        <v>293</v>
      </c>
      <c r="E86" s="32"/>
      <c r="F86" s="72">
        <v>538</v>
      </c>
      <c r="G86" s="32">
        <v>323</v>
      </c>
      <c r="H86" s="26">
        <v>41</v>
      </c>
      <c r="I86" s="31"/>
      <c r="J86" s="31" t="s">
        <v>162</v>
      </c>
      <c r="K86" s="31"/>
      <c r="L86" s="31" t="s">
        <v>272</v>
      </c>
      <c r="M86" s="31"/>
      <c r="N86" s="35" t="s">
        <v>160</v>
      </c>
      <c r="O86" s="31"/>
      <c r="P86" s="32">
        <v>0</v>
      </c>
      <c r="Q86" s="48">
        <f>G86-P86</f>
        <v>323</v>
      </c>
      <c r="R86" s="31"/>
      <c r="S86" s="31"/>
    </row>
    <row r="87" spans="1:19" x14ac:dyDescent="0.25">
      <c r="A87" s="32">
        <v>1029</v>
      </c>
      <c r="B87" s="31" t="s">
        <v>218</v>
      </c>
      <c r="C87" s="135"/>
      <c r="D87" s="53" t="s">
        <v>294</v>
      </c>
      <c r="E87" s="54"/>
      <c r="F87" s="41">
        <v>1651</v>
      </c>
      <c r="G87" s="54">
        <v>2829</v>
      </c>
      <c r="H87" s="41">
        <v>52</v>
      </c>
      <c r="I87" s="31"/>
      <c r="J87" s="31" t="s">
        <v>221</v>
      </c>
      <c r="K87" s="31"/>
      <c r="L87" s="31" t="s">
        <v>272</v>
      </c>
      <c r="M87" s="31" t="s">
        <v>227</v>
      </c>
      <c r="N87" s="30" t="s">
        <v>193</v>
      </c>
      <c r="O87" s="31"/>
      <c r="P87" s="32">
        <v>540</v>
      </c>
      <c r="Q87" s="48">
        <f>G87-P87</f>
        <v>2289</v>
      </c>
      <c r="R87" s="31"/>
      <c r="S87" s="31"/>
    </row>
    <row r="88" spans="1:19" x14ac:dyDescent="0.25">
      <c r="A88" s="31"/>
      <c r="B88" s="31" t="s">
        <v>239</v>
      </c>
      <c r="C88" s="135"/>
      <c r="D88" s="33" t="s">
        <v>295</v>
      </c>
      <c r="E88" s="32"/>
      <c r="F88" s="72">
        <v>2302</v>
      </c>
      <c r="G88" s="32"/>
      <c r="H88" s="26">
        <v>96</v>
      </c>
      <c r="I88" s="31"/>
      <c r="J88" s="31" t="s">
        <v>242</v>
      </c>
      <c r="K88" s="31"/>
      <c r="L88" s="31" t="s">
        <v>272</v>
      </c>
      <c r="M88" s="31"/>
      <c r="N88" s="30" t="s">
        <v>193</v>
      </c>
      <c r="O88" s="31"/>
      <c r="P88" s="32"/>
      <c r="Q88" s="32"/>
      <c r="R88" s="31"/>
      <c r="S88" s="31"/>
    </row>
    <row r="89" spans="1:19" x14ac:dyDescent="0.25">
      <c r="A89" s="32">
        <v>1022</v>
      </c>
      <c r="B89" s="31" t="s">
        <v>152</v>
      </c>
      <c r="C89" s="32" t="s">
        <v>296</v>
      </c>
      <c r="D89" s="33" t="s">
        <v>297</v>
      </c>
      <c r="E89" s="39">
        <v>10</v>
      </c>
      <c r="F89" s="32"/>
      <c r="G89" s="32"/>
      <c r="H89" s="26">
        <v>3</v>
      </c>
      <c r="I89" s="31"/>
      <c r="J89" s="31" t="s">
        <v>162</v>
      </c>
      <c r="K89" s="31"/>
      <c r="L89" s="31" t="s">
        <v>298</v>
      </c>
      <c r="M89" s="31"/>
      <c r="N89" s="30" t="s">
        <v>193</v>
      </c>
      <c r="O89" s="31"/>
      <c r="P89" s="32"/>
      <c r="Q89" s="32"/>
      <c r="R89" s="31"/>
      <c r="S89" s="31"/>
    </row>
    <row r="90" spans="1:19" x14ac:dyDescent="0.25">
      <c r="A90" s="31"/>
      <c r="B90" s="31" t="s">
        <v>234</v>
      </c>
      <c r="C90" s="135" t="s">
        <v>299</v>
      </c>
      <c r="D90" s="33" t="s">
        <v>300</v>
      </c>
      <c r="E90" s="32">
        <v>305</v>
      </c>
      <c r="F90" s="32"/>
      <c r="G90" s="32"/>
      <c r="H90" s="26">
        <v>1</v>
      </c>
      <c r="I90" s="31"/>
      <c r="J90" s="31" t="s">
        <v>236</v>
      </c>
      <c r="K90" s="31"/>
      <c r="L90" s="31"/>
      <c r="M90" s="31"/>
      <c r="N90" s="35" t="s">
        <v>160</v>
      </c>
      <c r="O90" s="31"/>
      <c r="P90" s="32"/>
      <c r="Q90" s="32"/>
      <c r="R90" s="31"/>
      <c r="S90" s="31"/>
    </row>
    <row r="91" spans="1:19" x14ac:dyDescent="0.25">
      <c r="A91" s="31"/>
      <c r="B91" s="31" t="s">
        <v>234</v>
      </c>
      <c r="C91" s="135"/>
      <c r="D91" s="33" t="s">
        <v>301</v>
      </c>
      <c r="E91" s="32">
        <v>72</v>
      </c>
      <c r="F91" s="32"/>
      <c r="G91" s="32"/>
      <c r="H91" s="26">
        <v>1</v>
      </c>
      <c r="I91" s="31"/>
      <c r="J91" s="31" t="s">
        <v>236</v>
      </c>
      <c r="K91" s="31"/>
      <c r="L91" s="31"/>
      <c r="M91" s="31"/>
      <c r="N91" s="30" t="s">
        <v>193</v>
      </c>
      <c r="O91" s="31"/>
      <c r="P91" s="32"/>
      <c r="Q91" s="32"/>
      <c r="R91" s="31"/>
      <c r="S91" s="31"/>
    </row>
    <row r="92" spans="1:19" x14ac:dyDescent="0.25">
      <c r="A92" s="31"/>
      <c r="B92" s="31" t="s">
        <v>234</v>
      </c>
      <c r="C92" s="135"/>
      <c r="D92" s="53" t="s">
        <v>302</v>
      </c>
      <c r="E92" s="54">
        <v>100</v>
      </c>
      <c r="F92" s="54"/>
      <c r="G92" s="54"/>
      <c r="H92" s="41">
        <v>1</v>
      </c>
      <c r="I92" s="31"/>
      <c r="J92" s="31" t="s">
        <v>236</v>
      </c>
      <c r="K92" s="31"/>
      <c r="L92" s="31"/>
      <c r="M92" s="31"/>
      <c r="N92" s="35" t="s">
        <v>160</v>
      </c>
      <c r="O92" s="31"/>
      <c r="P92" s="32"/>
      <c r="Q92" s="32"/>
      <c r="R92" s="31"/>
      <c r="S92" s="31"/>
    </row>
    <row r="93" spans="1:19" x14ac:dyDescent="0.25">
      <c r="A93" s="32">
        <v>1174</v>
      </c>
      <c r="B93" s="31" t="s">
        <v>164</v>
      </c>
      <c r="C93" s="135"/>
      <c r="D93" s="33" t="s">
        <v>303</v>
      </c>
      <c r="E93" s="39">
        <v>51</v>
      </c>
      <c r="F93" s="32"/>
      <c r="G93" s="32"/>
      <c r="H93" s="26">
        <v>5</v>
      </c>
      <c r="I93" s="31"/>
      <c r="J93" s="31" t="s">
        <v>166</v>
      </c>
      <c r="K93" s="31"/>
      <c r="L93" s="31"/>
      <c r="M93" s="31" t="s">
        <v>304</v>
      </c>
      <c r="N93" s="30" t="s">
        <v>193</v>
      </c>
      <c r="O93" s="31"/>
      <c r="P93" s="32"/>
      <c r="Q93" s="32"/>
      <c r="R93" s="31"/>
      <c r="S93" s="31"/>
    </row>
    <row r="94" spans="1:19" x14ac:dyDescent="0.25">
      <c r="A94" s="32">
        <v>1179</v>
      </c>
      <c r="B94" s="31" t="s">
        <v>149</v>
      </c>
      <c r="C94" s="32" t="s">
        <v>305</v>
      </c>
      <c r="D94" s="33" t="s">
        <v>305</v>
      </c>
      <c r="E94" s="32">
        <v>21</v>
      </c>
      <c r="F94" s="32"/>
      <c r="G94" s="32"/>
      <c r="H94" s="72">
        <v>1</v>
      </c>
      <c r="I94" s="31"/>
      <c r="J94" s="31"/>
      <c r="K94" s="31"/>
      <c r="L94" s="31"/>
      <c r="M94" s="31"/>
      <c r="N94" s="59" t="s">
        <v>289</v>
      </c>
      <c r="O94" s="31"/>
      <c r="P94" s="32"/>
      <c r="Q94" s="32"/>
      <c r="R94" s="31"/>
      <c r="S94" s="31"/>
    </row>
    <row r="95" spans="1:19" x14ac:dyDescent="0.25">
      <c r="A95" s="31"/>
      <c r="B95" s="31" t="s">
        <v>149</v>
      </c>
      <c r="C95" s="148" t="s">
        <v>110</v>
      </c>
      <c r="D95" s="33" t="s">
        <v>306</v>
      </c>
      <c r="E95" s="39">
        <v>808</v>
      </c>
      <c r="F95" s="39"/>
      <c r="G95" s="39"/>
      <c r="H95" s="72">
        <v>1</v>
      </c>
      <c r="I95" s="31"/>
      <c r="J95" s="31"/>
      <c r="K95" s="31"/>
      <c r="L95" s="31"/>
      <c r="M95" s="31"/>
      <c r="N95" s="30" t="s">
        <v>160</v>
      </c>
      <c r="O95" s="31"/>
      <c r="P95" s="32"/>
      <c r="Q95" s="32"/>
      <c r="R95" s="31"/>
      <c r="S95" s="31"/>
    </row>
    <row r="96" spans="1:19" x14ac:dyDescent="0.25">
      <c r="A96" s="31"/>
      <c r="B96" s="31" t="s">
        <v>149</v>
      </c>
      <c r="C96" s="148"/>
      <c r="D96" s="33" t="s">
        <v>307</v>
      </c>
      <c r="E96" s="39"/>
      <c r="F96" s="39">
        <v>149</v>
      </c>
      <c r="G96" s="39"/>
      <c r="H96" s="72">
        <v>2</v>
      </c>
      <c r="I96" s="31"/>
      <c r="J96" s="31"/>
      <c r="K96" s="31"/>
      <c r="L96" s="31"/>
      <c r="M96" s="31"/>
      <c r="N96" s="30" t="s">
        <v>193</v>
      </c>
      <c r="O96" s="31"/>
      <c r="P96" s="32"/>
      <c r="Q96" s="32"/>
      <c r="R96" s="31"/>
      <c r="S96" s="31"/>
    </row>
    <row r="97" spans="1:19" x14ac:dyDescent="0.25">
      <c r="A97" s="31"/>
      <c r="B97" s="31" t="s">
        <v>149</v>
      </c>
      <c r="C97" s="148"/>
      <c r="D97" s="33" t="s">
        <v>308</v>
      </c>
      <c r="E97" s="39">
        <v>6</v>
      </c>
      <c r="F97" s="39"/>
      <c r="G97" s="39"/>
      <c r="H97" s="72">
        <v>1</v>
      </c>
      <c r="I97" s="31"/>
      <c r="J97" s="31"/>
      <c r="K97" s="31"/>
      <c r="L97" s="31"/>
      <c r="M97" s="31"/>
      <c r="N97" s="30" t="s">
        <v>160</v>
      </c>
      <c r="O97" s="31"/>
      <c r="P97" s="32"/>
      <c r="Q97" s="32"/>
      <c r="R97" s="31"/>
      <c r="S97" s="31"/>
    </row>
    <row r="98" spans="1:19" x14ac:dyDescent="0.25">
      <c r="A98" s="31"/>
      <c r="B98" s="31" t="s">
        <v>152</v>
      </c>
      <c r="C98" s="148"/>
      <c r="D98" s="33" t="s">
        <v>309</v>
      </c>
      <c r="E98" s="39"/>
      <c r="F98" s="39">
        <v>50</v>
      </c>
      <c r="G98" s="39"/>
      <c r="H98" s="72">
        <v>1</v>
      </c>
      <c r="I98" s="31"/>
      <c r="J98" s="31" t="s">
        <v>162</v>
      </c>
      <c r="K98" s="31"/>
      <c r="L98" s="31"/>
      <c r="M98" s="31" t="s">
        <v>310</v>
      </c>
      <c r="N98" s="30" t="s">
        <v>289</v>
      </c>
      <c r="O98" s="31"/>
      <c r="P98" s="32"/>
      <c r="Q98" s="32"/>
      <c r="R98" s="31"/>
      <c r="S98" s="31"/>
    </row>
    <row r="99" spans="1:19" x14ac:dyDescent="0.25">
      <c r="A99" s="31"/>
      <c r="B99" s="31" t="s">
        <v>152</v>
      </c>
      <c r="C99" s="148"/>
      <c r="D99" s="60" t="s">
        <v>311</v>
      </c>
      <c r="E99" s="61"/>
      <c r="F99" s="61">
        <v>148</v>
      </c>
      <c r="G99" s="61">
        <v>234</v>
      </c>
      <c r="H99" s="62">
        <v>7</v>
      </c>
      <c r="I99" s="31"/>
      <c r="J99" s="31" t="s">
        <v>162</v>
      </c>
      <c r="K99" s="31"/>
      <c r="L99" s="31"/>
      <c r="M99" s="31"/>
      <c r="N99" s="30" t="s">
        <v>193</v>
      </c>
      <c r="O99" s="31"/>
      <c r="P99" s="32">
        <v>78</v>
      </c>
      <c r="Q99" s="48">
        <f>G99-P99</f>
        <v>156</v>
      </c>
      <c r="R99" s="31"/>
      <c r="S99" s="31"/>
    </row>
    <row r="100" spans="1:19" x14ac:dyDescent="0.25">
      <c r="A100" s="31"/>
      <c r="B100" s="31" t="s">
        <v>152</v>
      </c>
      <c r="C100" s="148"/>
      <c r="D100" s="33" t="s">
        <v>312</v>
      </c>
      <c r="E100" s="39"/>
      <c r="F100" s="39">
        <v>471</v>
      </c>
      <c r="G100" s="39">
        <v>464</v>
      </c>
      <c r="H100" s="72">
        <v>23</v>
      </c>
      <c r="I100" s="31"/>
      <c r="J100" s="31" t="s">
        <v>162</v>
      </c>
      <c r="K100" s="31"/>
      <c r="L100" s="31"/>
      <c r="M100" s="31"/>
      <c r="N100" s="59" t="s">
        <v>160</v>
      </c>
      <c r="O100" s="31"/>
      <c r="P100" s="32">
        <v>462</v>
      </c>
      <c r="Q100" s="48">
        <f>G100-P100</f>
        <v>2</v>
      </c>
      <c r="R100" s="31"/>
      <c r="S100" s="31"/>
    </row>
    <row r="101" spans="1:19" x14ac:dyDescent="0.25">
      <c r="A101" s="32">
        <v>1180</v>
      </c>
      <c r="B101" s="31" t="s">
        <v>164</v>
      </c>
      <c r="C101" s="148"/>
      <c r="D101" s="33" t="s">
        <v>313</v>
      </c>
      <c r="E101" s="32"/>
      <c r="F101" s="32">
        <v>68</v>
      </c>
      <c r="G101" s="32">
        <v>41</v>
      </c>
      <c r="H101" s="26">
        <v>13</v>
      </c>
      <c r="I101" s="31"/>
      <c r="J101" s="31" t="s">
        <v>166</v>
      </c>
      <c r="K101" s="31" t="s">
        <v>314</v>
      </c>
      <c r="L101" s="31"/>
      <c r="M101" s="31"/>
      <c r="N101" s="59" t="s">
        <v>160</v>
      </c>
      <c r="O101" s="31"/>
      <c r="P101" s="32"/>
      <c r="Q101" s="48">
        <f>G101-P101</f>
        <v>41</v>
      </c>
      <c r="R101" s="31"/>
      <c r="S101" s="31"/>
    </row>
    <row r="102" spans="1:19" x14ac:dyDescent="0.25">
      <c r="A102" s="32">
        <v>1241</v>
      </c>
      <c r="B102" s="31" t="s">
        <v>149</v>
      </c>
      <c r="C102" s="135" t="s">
        <v>41</v>
      </c>
      <c r="D102" s="33" t="s">
        <v>315</v>
      </c>
      <c r="E102" s="32"/>
      <c r="F102" s="32">
        <v>70</v>
      </c>
      <c r="G102" s="32"/>
      <c r="H102" s="26">
        <v>2</v>
      </c>
      <c r="I102" s="31"/>
      <c r="J102" s="31"/>
      <c r="K102" s="31"/>
      <c r="L102" s="31"/>
      <c r="M102" s="31"/>
      <c r="N102" s="30" t="s">
        <v>193</v>
      </c>
      <c r="O102" s="31"/>
      <c r="P102" s="32"/>
      <c r="Q102" s="32"/>
      <c r="R102" s="31"/>
      <c r="S102" s="31"/>
    </row>
    <row r="103" spans="1:19" ht="15.75" x14ac:dyDescent="0.25">
      <c r="A103" s="32"/>
      <c r="B103" s="37">
        <v>2015</v>
      </c>
      <c r="C103" s="147"/>
      <c r="D103" s="64" t="s">
        <v>316</v>
      </c>
      <c r="E103" s="65">
        <v>36</v>
      </c>
      <c r="F103" s="65"/>
      <c r="G103" s="65"/>
      <c r="H103" s="63">
        <v>1</v>
      </c>
      <c r="I103" s="31"/>
      <c r="J103" s="31"/>
      <c r="K103" s="31"/>
      <c r="L103" s="31"/>
      <c r="M103" s="31"/>
      <c r="N103" s="59"/>
      <c r="O103" s="31"/>
      <c r="P103" s="32"/>
      <c r="Q103" s="32"/>
      <c r="R103" s="31"/>
      <c r="S103" s="31"/>
    </row>
    <row r="104" spans="1:19" x14ac:dyDescent="0.25">
      <c r="A104" s="31"/>
      <c r="B104" s="31" t="s">
        <v>152</v>
      </c>
      <c r="C104" s="135"/>
      <c r="D104" s="33" t="s">
        <v>317</v>
      </c>
      <c r="E104" s="39"/>
      <c r="F104" s="39">
        <v>108</v>
      </c>
      <c r="G104" s="39"/>
      <c r="H104" s="72">
        <v>14</v>
      </c>
      <c r="I104" s="31"/>
      <c r="J104" s="31" t="s">
        <v>162</v>
      </c>
      <c r="K104" s="31" t="s">
        <v>42</v>
      </c>
      <c r="L104" s="31" t="s">
        <v>159</v>
      </c>
      <c r="M104" s="31"/>
      <c r="N104" s="35" t="s">
        <v>160</v>
      </c>
      <c r="O104" s="31"/>
      <c r="P104" s="32"/>
      <c r="Q104" s="32"/>
      <c r="R104" s="31"/>
      <c r="S104" s="31"/>
    </row>
    <row r="105" spans="1:19" x14ac:dyDescent="0.25">
      <c r="A105" s="31"/>
      <c r="B105" s="31" t="s">
        <v>152</v>
      </c>
      <c r="C105" s="135" t="s">
        <v>318</v>
      </c>
      <c r="D105" s="33" t="s">
        <v>319</v>
      </c>
      <c r="E105" s="39"/>
      <c r="F105" s="39">
        <v>588</v>
      </c>
      <c r="G105" s="39"/>
      <c r="H105" s="72">
        <v>37</v>
      </c>
      <c r="I105" s="31"/>
      <c r="J105" s="31" t="s">
        <v>162</v>
      </c>
      <c r="K105" s="31"/>
      <c r="L105" s="31"/>
      <c r="M105" s="31"/>
      <c r="N105" s="35" t="s">
        <v>160</v>
      </c>
      <c r="O105" s="31"/>
      <c r="P105" s="32"/>
      <c r="Q105" s="32"/>
      <c r="R105" s="31"/>
      <c r="S105" s="31"/>
    </row>
    <row r="106" spans="1:19" x14ac:dyDescent="0.25">
      <c r="A106" s="31"/>
      <c r="B106" s="31" t="s">
        <v>218</v>
      </c>
      <c r="C106" s="135"/>
      <c r="D106" s="53" t="s">
        <v>320</v>
      </c>
      <c r="E106" s="54"/>
      <c r="F106" s="54">
        <v>330</v>
      </c>
      <c r="G106" s="54">
        <v>721</v>
      </c>
      <c r="H106" s="41">
        <v>15</v>
      </c>
      <c r="I106" s="31"/>
      <c r="J106" s="31" t="s">
        <v>221</v>
      </c>
      <c r="K106" s="31"/>
      <c r="L106" s="31" t="s">
        <v>272</v>
      </c>
      <c r="M106" s="31" t="s">
        <v>227</v>
      </c>
      <c r="N106" s="30" t="s">
        <v>193</v>
      </c>
      <c r="O106" s="31"/>
      <c r="P106" s="32">
        <v>352</v>
      </c>
      <c r="Q106" s="48">
        <f>G106-P106</f>
        <v>369</v>
      </c>
      <c r="R106" s="31"/>
      <c r="S106" s="31"/>
    </row>
    <row r="107" spans="1:19" x14ac:dyDescent="0.25">
      <c r="A107" s="31"/>
      <c r="B107" s="31" t="s">
        <v>218</v>
      </c>
      <c r="C107" s="32" t="s">
        <v>321</v>
      </c>
      <c r="D107" s="33" t="s">
        <v>322</v>
      </c>
      <c r="E107" s="39"/>
      <c r="F107" s="39">
        <v>381</v>
      </c>
      <c r="G107" s="39"/>
      <c r="H107" s="72">
        <v>34</v>
      </c>
      <c r="I107" s="31"/>
      <c r="J107" s="31" t="s">
        <v>221</v>
      </c>
      <c r="K107" s="31"/>
      <c r="L107" s="31" t="s">
        <v>272</v>
      </c>
      <c r="M107" s="31"/>
      <c r="N107" s="30" t="s">
        <v>193</v>
      </c>
      <c r="O107" s="31"/>
      <c r="P107" s="32"/>
      <c r="Q107" s="32"/>
      <c r="R107" s="31"/>
      <c r="S107" s="31"/>
    </row>
    <row r="108" spans="1:19" x14ac:dyDescent="0.25">
      <c r="A108" s="31"/>
      <c r="B108" s="31" t="s">
        <v>152</v>
      </c>
      <c r="C108" s="151" t="s">
        <v>323</v>
      </c>
      <c r="D108" s="33" t="s">
        <v>324</v>
      </c>
      <c r="E108" s="32">
        <v>100</v>
      </c>
      <c r="F108" s="32"/>
      <c r="G108" s="139">
        <v>960</v>
      </c>
      <c r="H108" s="26">
        <v>1</v>
      </c>
      <c r="I108" s="31"/>
      <c r="J108" s="31" t="s">
        <v>162</v>
      </c>
      <c r="K108" s="31"/>
      <c r="L108" s="31" t="s">
        <v>325</v>
      </c>
      <c r="M108" s="31" t="s">
        <v>227</v>
      </c>
      <c r="N108" s="30" t="s">
        <v>289</v>
      </c>
      <c r="O108" s="31"/>
      <c r="P108" s="139">
        <v>943</v>
      </c>
      <c r="Q108" s="139">
        <f>G108-P108</f>
        <v>17</v>
      </c>
      <c r="R108" s="31"/>
      <c r="S108" s="31"/>
    </row>
    <row r="109" spans="1:19" x14ac:dyDescent="0.25">
      <c r="A109" s="31"/>
      <c r="B109" s="31" t="s">
        <v>152</v>
      </c>
      <c r="C109" s="151"/>
      <c r="D109" s="60" t="s">
        <v>326</v>
      </c>
      <c r="E109" s="61"/>
      <c r="F109" s="61">
        <v>621</v>
      </c>
      <c r="G109" s="141"/>
      <c r="H109" s="26">
        <v>36</v>
      </c>
      <c r="I109" s="31"/>
      <c r="J109" s="31" t="s">
        <v>162</v>
      </c>
      <c r="K109" s="31"/>
      <c r="L109" s="31"/>
      <c r="M109" s="31" t="s">
        <v>227</v>
      </c>
      <c r="N109" s="30" t="s">
        <v>193</v>
      </c>
      <c r="O109" s="31"/>
      <c r="P109" s="141"/>
      <c r="Q109" s="141"/>
      <c r="R109" s="31"/>
      <c r="S109" s="31"/>
    </row>
    <row r="110" spans="1:19" x14ac:dyDescent="0.25">
      <c r="A110" s="31"/>
      <c r="B110" s="31" t="s">
        <v>204</v>
      </c>
      <c r="C110" s="151"/>
      <c r="D110" s="33" t="s">
        <v>327</v>
      </c>
      <c r="E110" s="32"/>
      <c r="F110" s="32">
        <v>287</v>
      </c>
      <c r="G110" s="32"/>
      <c r="H110" s="26">
        <v>25</v>
      </c>
      <c r="I110" s="31"/>
      <c r="J110" s="31" t="s">
        <v>206</v>
      </c>
      <c r="K110" s="31"/>
      <c r="L110" s="31"/>
      <c r="M110" s="31"/>
      <c r="N110" s="35" t="s">
        <v>160</v>
      </c>
      <c r="O110" s="31"/>
      <c r="P110" s="32"/>
      <c r="Q110" s="32"/>
      <c r="R110" s="31"/>
      <c r="S110" s="31"/>
    </row>
    <row r="111" spans="1:19" x14ac:dyDescent="0.25">
      <c r="A111" s="31"/>
      <c r="B111" s="31" t="s">
        <v>204</v>
      </c>
      <c r="C111" s="151"/>
      <c r="D111" s="33" t="s">
        <v>328</v>
      </c>
      <c r="E111" s="32"/>
      <c r="F111" s="32">
        <v>543</v>
      </c>
      <c r="G111" s="32"/>
      <c r="H111" s="26">
        <v>30</v>
      </c>
      <c r="I111" s="31"/>
      <c r="J111" s="31" t="s">
        <v>206</v>
      </c>
      <c r="K111" s="31"/>
      <c r="L111" s="31"/>
      <c r="M111" s="31"/>
      <c r="N111" s="35" t="s">
        <v>160</v>
      </c>
      <c r="O111" s="31"/>
      <c r="P111" s="32"/>
      <c r="Q111" s="32"/>
      <c r="R111" s="31"/>
      <c r="S111" s="31"/>
    </row>
    <row r="112" spans="1:19" x14ac:dyDescent="0.25">
      <c r="A112" s="31"/>
      <c r="B112" s="31" t="s">
        <v>204</v>
      </c>
      <c r="C112" s="151"/>
      <c r="D112" s="33" t="s">
        <v>329</v>
      </c>
      <c r="E112" s="32"/>
      <c r="F112" s="32">
        <v>606</v>
      </c>
      <c r="G112" s="32"/>
      <c r="H112" s="26">
        <v>28</v>
      </c>
      <c r="I112" s="31"/>
      <c r="J112" s="31" t="s">
        <v>206</v>
      </c>
      <c r="K112" s="31"/>
      <c r="L112" s="31"/>
      <c r="M112" s="31"/>
      <c r="N112" s="35" t="s">
        <v>160</v>
      </c>
      <c r="O112" s="31"/>
      <c r="P112" s="32"/>
      <c r="Q112" s="32"/>
      <c r="R112" s="31"/>
      <c r="S112" s="31"/>
    </row>
    <row r="113" spans="1:19" x14ac:dyDescent="0.25">
      <c r="A113" s="31"/>
      <c r="B113" s="31" t="s">
        <v>204</v>
      </c>
      <c r="C113" s="151"/>
      <c r="D113" s="33" t="s">
        <v>330</v>
      </c>
      <c r="E113" s="32"/>
      <c r="F113" s="32">
        <v>731</v>
      </c>
      <c r="G113" s="32"/>
      <c r="H113" s="26">
        <v>38</v>
      </c>
      <c r="I113" s="31"/>
      <c r="J113" s="31" t="s">
        <v>206</v>
      </c>
      <c r="K113" s="31"/>
      <c r="L113" s="31"/>
      <c r="M113" s="31"/>
      <c r="N113" s="35" t="s">
        <v>160</v>
      </c>
      <c r="O113" s="31"/>
      <c r="P113" s="32"/>
      <c r="Q113" s="32"/>
      <c r="R113" s="31"/>
      <c r="S113" s="31"/>
    </row>
    <row r="114" spans="1:19" x14ac:dyDescent="0.25">
      <c r="A114" s="31"/>
      <c r="B114" s="31" t="s">
        <v>204</v>
      </c>
      <c r="C114" s="151"/>
      <c r="D114" s="60" t="s">
        <v>331</v>
      </c>
      <c r="E114" s="61"/>
      <c r="F114" s="61">
        <v>817</v>
      </c>
      <c r="G114" s="61"/>
      <c r="H114" s="62">
        <v>37</v>
      </c>
      <c r="I114" s="31"/>
      <c r="J114" s="31" t="s">
        <v>206</v>
      </c>
      <c r="K114" s="31"/>
      <c r="L114" s="31"/>
      <c r="M114" s="31"/>
      <c r="N114" s="35" t="s">
        <v>160</v>
      </c>
      <c r="O114" s="31"/>
      <c r="P114" s="32"/>
      <c r="Q114" s="32"/>
      <c r="R114" s="31"/>
      <c r="S114" s="31"/>
    </row>
    <row r="115" spans="1:19" x14ac:dyDescent="0.25">
      <c r="A115" s="31"/>
      <c r="B115" s="31" t="s">
        <v>204</v>
      </c>
      <c r="C115" s="151"/>
      <c r="D115" s="33" t="s">
        <v>332</v>
      </c>
      <c r="E115" s="32"/>
      <c r="F115" s="32">
        <v>891</v>
      </c>
      <c r="G115" s="32"/>
      <c r="H115" s="26">
        <v>46</v>
      </c>
      <c r="I115" s="31"/>
      <c r="J115" s="31" t="s">
        <v>206</v>
      </c>
      <c r="K115" s="31"/>
      <c r="L115" s="31"/>
      <c r="N115" s="35" t="s">
        <v>160</v>
      </c>
      <c r="O115" s="31"/>
      <c r="P115" s="32"/>
      <c r="Q115" s="32"/>
      <c r="R115" s="31"/>
      <c r="S115" s="31"/>
    </row>
    <row r="116" spans="1:19" x14ac:dyDescent="0.25">
      <c r="A116" s="31"/>
      <c r="B116" s="31" t="s">
        <v>204</v>
      </c>
      <c r="C116" s="151"/>
      <c r="D116" s="60" t="s">
        <v>333</v>
      </c>
      <c r="E116" s="61"/>
      <c r="F116" s="61">
        <v>951</v>
      </c>
      <c r="G116" s="61"/>
      <c r="H116" s="62">
        <v>57</v>
      </c>
      <c r="I116" s="31"/>
      <c r="J116" s="31" t="s">
        <v>206</v>
      </c>
      <c r="K116" s="31"/>
      <c r="L116" s="31"/>
      <c r="M116" s="31" t="s">
        <v>334</v>
      </c>
      <c r="N116" s="35" t="s">
        <v>160</v>
      </c>
      <c r="O116" s="31"/>
      <c r="P116" s="32"/>
      <c r="Q116" s="32"/>
      <c r="R116" s="31"/>
      <c r="S116" s="31"/>
    </row>
    <row r="117" spans="1:19" x14ac:dyDescent="0.25">
      <c r="A117" s="31"/>
      <c r="B117" s="31" t="s">
        <v>204</v>
      </c>
      <c r="C117" s="151"/>
      <c r="D117" s="33" t="s">
        <v>335</v>
      </c>
      <c r="E117" s="32"/>
      <c r="F117" s="32">
        <v>347</v>
      </c>
      <c r="G117" s="32"/>
      <c r="H117" s="26">
        <v>26</v>
      </c>
      <c r="I117" s="31"/>
      <c r="J117" s="31" t="s">
        <v>206</v>
      </c>
      <c r="K117" s="31"/>
      <c r="L117" s="31"/>
      <c r="M117" s="31"/>
      <c r="N117" s="35" t="s">
        <v>160</v>
      </c>
      <c r="O117" s="31"/>
      <c r="P117" s="32"/>
      <c r="Q117" s="32"/>
      <c r="R117" s="31"/>
      <c r="S117" s="31"/>
    </row>
    <row r="118" spans="1:19" x14ac:dyDescent="0.25">
      <c r="A118" s="31"/>
      <c r="B118" s="31" t="s">
        <v>204</v>
      </c>
      <c r="C118" s="151"/>
      <c r="D118" s="60" t="s">
        <v>336</v>
      </c>
      <c r="E118" s="61"/>
      <c r="F118" s="61">
        <v>426</v>
      </c>
      <c r="G118" s="61"/>
      <c r="H118" s="62">
        <v>31</v>
      </c>
      <c r="I118" s="31"/>
      <c r="J118" s="31" t="s">
        <v>206</v>
      </c>
      <c r="K118" s="31"/>
      <c r="L118" s="31"/>
      <c r="M118" s="31"/>
      <c r="N118" s="35" t="s">
        <v>160</v>
      </c>
      <c r="O118" s="31"/>
      <c r="P118" s="32"/>
      <c r="Q118" s="32"/>
      <c r="R118" s="31"/>
      <c r="S118" s="31"/>
    </row>
    <row r="119" spans="1:19" x14ac:dyDescent="0.25">
      <c r="A119" s="31"/>
      <c r="B119" s="31" t="s">
        <v>204</v>
      </c>
      <c r="C119" s="151"/>
      <c r="D119" s="33" t="s">
        <v>337</v>
      </c>
      <c r="E119" s="32"/>
      <c r="F119" s="32">
        <v>756</v>
      </c>
      <c r="G119" s="32"/>
      <c r="H119" s="26">
        <v>37</v>
      </c>
      <c r="I119" s="31"/>
      <c r="J119" s="31" t="s">
        <v>206</v>
      </c>
      <c r="K119" s="31"/>
      <c r="L119" s="31"/>
      <c r="M119" s="31"/>
      <c r="N119" s="35" t="s">
        <v>160</v>
      </c>
      <c r="O119" s="31"/>
      <c r="P119" s="32"/>
      <c r="Q119" s="32"/>
      <c r="R119" s="31"/>
      <c r="S119" s="31"/>
    </row>
    <row r="120" spans="1:19" x14ac:dyDescent="0.25">
      <c r="A120" s="31"/>
      <c r="B120" s="31" t="s">
        <v>204</v>
      </c>
      <c r="C120" s="151"/>
      <c r="D120" s="33" t="s">
        <v>338</v>
      </c>
      <c r="E120" s="32"/>
      <c r="F120" s="32">
        <v>674</v>
      </c>
      <c r="G120" s="32"/>
      <c r="H120" s="26">
        <v>29</v>
      </c>
      <c r="I120" s="31"/>
      <c r="J120" s="31" t="s">
        <v>206</v>
      </c>
      <c r="K120" s="31"/>
      <c r="L120" s="31"/>
      <c r="M120" s="31"/>
      <c r="N120" s="35" t="s">
        <v>160</v>
      </c>
      <c r="O120" s="31"/>
      <c r="P120" s="32"/>
      <c r="Q120" s="32"/>
      <c r="R120" s="31"/>
      <c r="S120" s="31"/>
    </row>
    <row r="121" spans="1:19" x14ac:dyDescent="0.25">
      <c r="A121" s="32">
        <v>1749</v>
      </c>
      <c r="B121" s="31" t="s">
        <v>152</v>
      </c>
      <c r="C121" s="136" t="s">
        <v>339</v>
      </c>
      <c r="D121" s="33" t="s">
        <v>340</v>
      </c>
      <c r="E121" s="32">
        <v>17</v>
      </c>
      <c r="F121" s="32"/>
      <c r="G121" s="32"/>
      <c r="H121" s="26">
        <v>1</v>
      </c>
      <c r="I121" s="31"/>
      <c r="J121" s="31" t="s">
        <v>162</v>
      </c>
      <c r="K121" s="31"/>
      <c r="L121" s="31"/>
      <c r="M121" s="31" t="s">
        <v>341</v>
      </c>
      <c r="N121" s="30" t="s">
        <v>289</v>
      </c>
      <c r="O121" s="31"/>
      <c r="P121" s="32"/>
      <c r="Q121" s="32"/>
      <c r="R121" s="31"/>
      <c r="S121" s="31"/>
    </row>
    <row r="122" spans="1:19" x14ac:dyDescent="0.25">
      <c r="A122" s="32">
        <v>1750</v>
      </c>
      <c r="B122" s="31" t="s">
        <v>149</v>
      </c>
      <c r="C122" s="136"/>
      <c r="D122" s="33" t="s">
        <v>342</v>
      </c>
      <c r="E122" s="32">
        <v>33</v>
      </c>
      <c r="F122" s="32"/>
      <c r="G122" s="32"/>
      <c r="H122" s="26">
        <v>1</v>
      </c>
      <c r="I122" s="31"/>
      <c r="J122" s="31"/>
      <c r="K122" s="31"/>
      <c r="L122" s="31"/>
      <c r="M122" s="31"/>
      <c r="N122" s="30" t="s">
        <v>289</v>
      </c>
      <c r="O122" s="31"/>
      <c r="P122" s="32"/>
      <c r="Q122" s="32"/>
      <c r="R122" s="31"/>
      <c r="S122" s="31"/>
    </row>
    <row r="123" spans="1:19" x14ac:dyDescent="0.25">
      <c r="A123" s="31"/>
      <c r="B123" s="31" t="s">
        <v>218</v>
      </c>
      <c r="C123" s="136"/>
      <c r="D123" s="33" t="s">
        <v>343</v>
      </c>
      <c r="E123" s="39"/>
      <c r="F123" s="39">
        <v>133</v>
      </c>
      <c r="G123" s="39"/>
      <c r="H123" s="72">
        <v>9</v>
      </c>
      <c r="I123" s="31"/>
      <c r="J123" s="31" t="s">
        <v>221</v>
      </c>
      <c r="K123" s="31" t="s">
        <v>344</v>
      </c>
      <c r="L123" s="31"/>
      <c r="M123" s="31"/>
      <c r="N123" s="30" t="s">
        <v>193</v>
      </c>
      <c r="O123" s="31"/>
      <c r="P123" s="32"/>
      <c r="Q123" s="32"/>
      <c r="R123" s="31"/>
      <c r="S123" s="31"/>
    </row>
    <row r="124" spans="1:19" x14ac:dyDescent="0.25">
      <c r="A124" s="31"/>
      <c r="B124" s="31" t="s">
        <v>152</v>
      </c>
      <c r="C124" s="136"/>
      <c r="D124" s="33" t="s">
        <v>345</v>
      </c>
      <c r="E124" s="39"/>
      <c r="F124" s="39">
        <v>413</v>
      </c>
      <c r="G124" s="39"/>
      <c r="H124" s="72">
        <v>30</v>
      </c>
      <c r="I124" s="31"/>
      <c r="J124" s="31" t="s">
        <v>162</v>
      </c>
      <c r="K124" s="31"/>
      <c r="L124" s="31"/>
      <c r="M124" s="31"/>
      <c r="N124" s="35" t="s">
        <v>160</v>
      </c>
      <c r="O124" s="31"/>
      <c r="P124" s="32"/>
      <c r="Q124" s="32"/>
      <c r="R124" s="31"/>
      <c r="S124" s="31"/>
    </row>
    <row r="125" spans="1:19" x14ac:dyDescent="0.25">
      <c r="A125" s="31"/>
      <c r="B125" s="37">
        <v>2015</v>
      </c>
      <c r="C125" s="41" t="s">
        <v>49</v>
      </c>
      <c r="D125" s="53" t="s">
        <v>49</v>
      </c>
      <c r="E125" s="54"/>
      <c r="F125" s="54">
        <v>291</v>
      </c>
      <c r="G125" s="54"/>
      <c r="H125" s="41">
        <v>3</v>
      </c>
      <c r="I125" s="31"/>
      <c r="J125" s="31"/>
      <c r="K125" s="31" t="s">
        <v>50</v>
      </c>
      <c r="L125" s="67" t="s">
        <v>202</v>
      </c>
      <c r="M125" s="31"/>
      <c r="N125" s="35" t="s">
        <v>160</v>
      </c>
      <c r="O125" s="31"/>
      <c r="P125" s="32"/>
      <c r="Q125" s="32"/>
      <c r="R125" s="31"/>
      <c r="S125" s="31"/>
    </row>
    <row r="126" spans="1:19" x14ac:dyDescent="0.25">
      <c r="A126" s="31"/>
      <c r="B126" s="37">
        <v>2015</v>
      </c>
      <c r="C126" s="41" t="s">
        <v>51</v>
      </c>
      <c r="D126" s="53" t="s">
        <v>51</v>
      </c>
      <c r="E126" s="54"/>
      <c r="F126" s="54">
        <v>549</v>
      </c>
      <c r="G126" s="54"/>
      <c r="H126" s="41">
        <v>4</v>
      </c>
      <c r="I126" s="31"/>
      <c r="J126" s="31"/>
      <c r="K126" s="31" t="s">
        <v>52</v>
      </c>
      <c r="L126" s="67" t="s">
        <v>202</v>
      </c>
      <c r="M126" s="31"/>
      <c r="N126" s="35" t="s">
        <v>160</v>
      </c>
      <c r="O126" s="31"/>
      <c r="P126" s="32"/>
      <c r="Q126" s="32"/>
      <c r="R126" s="31"/>
      <c r="S126" s="31"/>
    </row>
    <row r="127" spans="1:19" x14ac:dyDescent="0.25">
      <c r="A127" s="31"/>
      <c r="B127" s="37">
        <v>2015</v>
      </c>
      <c r="C127" s="41" t="s">
        <v>111</v>
      </c>
      <c r="D127" s="53" t="s">
        <v>111</v>
      </c>
      <c r="E127" s="54"/>
      <c r="F127" s="54">
        <v>105</v>
      </c>
      <c r="G127" s="54"/>
      <c r="H127" s="41">
        <v>2</v>
      </c>
      <c r="I127" s="31"/>
      <c r="J127" s="31"/>
      <c r="K127" s="31" t="s">
        <v>112</v>
      </c>
      <c r="L127" s="67" t="s">
        <v>202</v>
      </c>
      <c r="M127" s="31"/>
      <c r="N127" s="35" t="s">
        <v>160</v>
      </c>
      <c r="O127" s="31"/>
      <c r="P127" s="32"/>
      <c r="Q127" s="32"/>
      <c r="R127" s="31"/>
      <c r="S127" s="31"/>
    </row>
    <row r="128" spans="1:19" x14ac:dyDescent="0.25">
      <c r="A128" s="31"/>
      <c r="B128" s="37">
        <v>2015</v>
      </c>
      <c r="C128" s="41" t="s">
        <v>53</v>
      </c>
      <c r="D128" s="53" t="s">
        <v>53</v>
      </c>
      <c r="E128" s="54"/>
      <c r="F128" s="54">
        <v>264</v>
      </c>
      <c r="G128" s="54"/>
      <c r="H128" s="41">
        <v>2</v>
      </c>
      <c r="I128" s="31"/>
      <c r="J128" s="31"/>
      <c r="K128" s="31" t="s">
        <v>54</v>
      </c>
      <c r="L128" s="67" t="s">
        <v>202</v>
      </c>
      <c r="M128" s="31"/>
      <c r="N128" s="35" t="s">
        <v>160</v>
      </c>
      <c r="O128" s="31"/>
      <c r="P128" s="32"/>
      <c r="Q128" s="32"/>
      <c r="R128" s="31"/>
      <c r="S128" s="31"/>
    </row>
    <row r="129" spans="1:19" x14ac:dyDescent="0.25">
      <c r="A129" s="31"/>
      <c r="B129" s="37">
        <v>2015</v>
      </c>
      <c r="C129" s="26" t="s">
        <v>346</v>
      </c>
      <c r="D129" s="33" t="s">
        <v>346</v>
      </c>
      <c r="E129" s="32">
        <v>13</v>
      </c>
      <c r="F129" s="32"/>
      <c r="G129" s="32"/>
      <c r="H129" s="26">
        <v>1</v>
      </c>
      <c r="I129" s="31"/>
      <c r="J129" s="31"/>
      <c r="K129" s="31" t="s">
        <v>347</v>
      </c>
      <c r="L129" s="67" t="s">
        <v>202</v>
      </c>
      <c r="M129" s="31"/>
      <c r="N129" s="35" t="s">
        <v>160</v>
      </c>
      <c r="O129" s="31"/>
      <c r="P129" s="32"/>
      <c r="Q129" s="32"/>
      <c r="R129" s="31"/>
      <c r="S129" s="31"/>
    </row>
    <row r="130" spans="1:19" x14ac:dyDescent="0.25">
      <c r="A130" s="31"/>
      <c r="B130" s="37">
        <v>2015</v>
      </c>
      <c r="C130" s="41" t="s">
        <v>55</v>
      </c>
      <c r="D130" s="53" t="s">
        <v>55</v>
      </c>
      <c r="E130" s="54"/>
      <c r="F130" s="54">
        <v>284</v>
      </c>
      <c r="G130" s="54"/>
      <c r="H130" s="41">
        <v>2</v>
      </c>
      <c r="I130" s="31"/>
      <c r="J130" s="31"/>
      <c r="K130" s="31" t="s">
        <v>56</v>
      </c>
      <c r="L130" s="67" t="s">
        <v>202</v>
      </c>
      <c r="M130" s="31"/>
      <c r="N130" s="35" t="s">
        <v>160</v>
      </c>
      <c r="O130" s="31"/>
      <c r="P130" s="32"/>
      <c r="Q130" s="32"/>
      <c r="R130" s="31"/>
      <c r="S130" s="31"/>
    </row>
    <row r="131" spans="1:19" x14ac:dyDescent="0.25">
      <c r="A131" s="31"/>
      <c r="B131" s="37">
        <v>2015</v>
      </c>
      <c r="C131" s="41" t="s">
        <v>113</v>
      </c>
      <c r="D131" s="53" t="s">
        <v>113</v>
      </c>
      <c r="E131" s="54"/>
      <c r="F131" s="54">
        <v>182</v>
      </c>
      <c r="G131" s="54"/>
      <c r="H131" s="41">
        <v>2</v>
      </c>
      <c r="I131" s="31"/>
      <c r="J131" s="31"/>
      <c r="K131" s="31" t="s">
        <v>114</v>
      </c>
      <c r="L131" s="67" t="s">
        <v>202</v>
      </c>
      <c r="M131" s="31"/>
      <c r="N131" s="35" t="s">
        <v>160</v>
      </c>
      <c r="O131" s="31"/>
      <c r="P131" s="32"/>
      <c r="Q131" s="32"/>
      <c r="R131" s="31"/>
      <c r="S131" s="31"/>
    </row>
    <row r="132" spans="1:19" x14ac:dyDescent="0.25">
      <c r="A132" s="31"/>
      <c r="B132" s="37">
        <v>2015</v>
      </c>
      <c r="C132" s="41" t="s">
        <v>57</v>
      </c>
      <c r="D132" s="53" t="s">
        <v>57</v>
      </c>
      <c r="E132" s="54"/>
      <c r="F132" s="54">
        <v>186</v>
      </c>
      <c r="G132" s="54"/>
      <c r="H132" s="41">
        <v>2</v>
      </c>
      <c r="I132" s="31"/>
      <c r="J132" s="31"/>
      <c r="K132" s="31" t="s">
        <v>58</v>
      </c>
      <c r="L132" s="67" t="s">
        <v>202</v>
      </c>
      <c r="M132" s="31"/>
      <c r="N132" s="35" t="s">
        <v>160</v>
      </c>
      <c r="O132" s="31"/>
      <c r="P132" s="32"/>
      <c r="Q132" s="32"/>
      <c r="R132" s="31"/>
      <c r="S132" s="31"/>
    </row>
    <row r="133" spans="1:19" x14ac:dyDescent="0.25">
      <c r="A133" s="31"/>
      <c r="B133" s="37">
        <v>2015</v>
      </c>
      <c r="C133" s="41" t="s">
        <v>59</v>
      </c>
      <c r="D133" s="53" t="s">
        <v>59</v>
      </c>
      <c r="E133" s="54"/>
      <c r="F133" s="54">
        <v>566</v>
      </c>
      <c r="G133" s="54"/>
      <c r="H133" s="41">
        <v>4</v>
      </c>
      <c r="I133" s="31"/>
      <c r="J133" s="31"/>
      <c r="K133" s="31" t="s">
        <v>60</v>
      </c>
      <c r="L133" s="67" t="s">
        <v>202</v>
      </c>
      <c r="M133" s="31"/>
      <c r="N133" s="35" t="s">
        <v>160</v>
      </c>
      <c r="O133" s="31"/>
      <c r="P133" s="32"/>
      <c r="Q133" s="32"/>
      <c r="R133" s="31"/>
      <c r="S133" s="31"/>
    </row>
    <row r="134" spans="1:19" x14ac:dyDescent="0.25">
      <c r="A134" s="31"/>
      <c r="B134" s="37">
        <v>2015</v>
      </c>
      <c r="C134" s="41" t="s">
        <v>115</v>
      </c>
      <c r="D134" s="53" t="s">
        <v>115</v>
      </c>
      <c r="E134" s="54">
        <v>118</v>
      </c>
      <c r="F134" s="54"/>
      <c r="G134" s="54"/>
      <c r="H134" s="41">
        <v>1</v>
      </c>
      <c r="I134" s="31"/>
      <c r="J134" s="31"/>
      <c r="K134" s="31" t="s">
        <v>116</v>
      </c>
      <c r="L134" s="67" t="s">
        <v>202</v>
      </c>
      <c r="M134" s="31"/>
      <c r="N134" s="35" t="s">
        <v>160</v>
      </c>
      <c r="O134" s="31"/>
      <c r="P134" s="32"/>
      <c r="Q134" s="32"/>
      <c r="R134" s="31"/>
      <c r="S134" s="31"/>
    </row>
    <row r="135" spans="1:19" x14ac:dyDescent="0.25">
      <c r="A135" s="31"/>
      <c r="B135" s="37">
        <v>2015</v>
      </c>
      <c r="C135" s="41" t="s">
        <v>117</v>
      </c>
      <c r="D135" s="53" t="s">
        <v>117</v>
      </c>
      <c r="E135" s="54">
        <v>53</v>
      </c>
      <c r="F135" s="54"/>
      <c r="G135" s="54"/>
      <c r="H135" s="41">
        <v>1</v>
      </c>
      <c r="I135" s="31"/>
      <c r="J135" s="31"/>
      <c r="K135" s="31" t="s">
        <v>118</v>
      </c>
      <c r="L135" s="67" t="s">
        <v>202</v>
      </c>
      <c r="M135" s="31"/>
      <c r="N135" s="35" t="s">
        <v>160</v>
      </c>
      <c r="O135" s="31"/>
      <c r="P135" s="32"/>
      <c r="Q135" s="32"/>
      <c r="R135" s="31"/>
      <c r="S135" s="31"/>
    </row>
    <row r="136" spans="1:19" x14ac:dyDescent="0.25">
      <c r="A136" s="31"/>
      <c r="B136" s="37">
        <v>2015</v>
      </c>
      <c r="C136" s="135" t="s">
        <v>348</v>
      </c>
      <c r="D136" s="38" t="s">
        <v>61</v>
      </c>
      <c r="E136" s="32">
        <v>57</v>
      </c>
      <c r="F136" s="32"/>
      <c r="G136" s="32"/>
      <c r="H136" s="26">
        <v>1</v>
      </c>
      <c r="I136" s="31"/>
      <c r="J136" s="31"/>
      <c r="K136" s="31" t="s">
        <v>62</v>
      </c>
      <c r="L136" s="67" t="s">
        <v>202</v>
      </c>
      <c r="M136" s="31"/>
      <c r="N136" s="35" t="s">
        <v>160</v>
      </c>
      <c r="O136" s="31"/>
      <c r="P136" s="32"/>
      <c r="Q136" s="32"/>
      <c r="R136" s="31"/>
      <c r="S136" s="31"/>
    </row>
    <row r="137" spans="1:19" x14ac:dyDescent="0.25">
      <c r="A137" s="32">
        <v>1790</v>
      </c>
      <c r="B137" s="31" t="s">
        <v>204</v>
      </c>
      <c r="C137" s="135"/>
      <c r="D137" s="53" t="s">
        <v>349</v>
      </c>
      <c r="E137" s="54"/>
      <c r="F137" s="54">
        <v>345</v>
      </c>
      <c r="G137" s="54"/>
      <c r="H137" s="41">
        <v>23</v>
      </c>
      <c r="I137" s="31"/>
      <c r="J137" s="31" t="s">
        <v>206</v>
      </c>
      <c r="K137" s="31" t="s">
        <v>62</v>
      </c>
      <c r="L137" s="31" t="s">
        <v>202</v>
      </c>
      <c r="M137" s="31"/>
      <c r="N137" s="35" t="s">
        <v>160</v>
      </c>
      <c r="O137" s="31"/>
      <c r="P137" s="32"/>
      <c r="Q137" s="32"/>
      <c r="R137" s="31"/>
      <c r="S137" s="31"/>
    </row>
    <row r="138" spans="1:19" x14ac:dyDescent="0.25">
      <c r="A138" s="32">
        <v>1813</v>
      </c>
      <c r="B138" s="31" t="s">
        <v>152</v>
      </c>
      <c r="C138" s="54" t="s">
        <v>350</v>
      </c>
      <c r="D138" s="53" t="s">
        <v>351</v>
      </c>
      <c r="E138" s="54"/>
      <c r="F138" s="54">
        <v>1233</v>
      </c>
      <c r="G138" s="54">
        <v>800</v>
      </c>
      <c r="H138" s="41">
        <v>42</v>
      </c>
      <c r="I138" s="31"/>
      <c r="J138" s="31" t="s">
        <v>162</v>
      </c>
      <c r="K138" s="31" t="s">
        <v>352</v>
      </c>
      <c r="L138" s="31" t="s">
        <v>159</v>
      </c>
      <c r="M138" s="31"/>
      <c r="N138" s="35" t="s">
        <v>160</v>
      </c>
      <c r="O138" s="31"/>
      <c r="P138" s="32">
        <v>540</v>
      </c>
      <c r="Q138" s="48">
        <f>G138-P138</f>
        <v>260</v>
      </c>
      <c r="R138" s="31"/>
      <c r="S138" s="31"/>
    </row>
    <row r="139" spans="1:19" x14ac:dyDescent="0.25">
      <c r="A139" s="32"/>
      <c r="B139" s="37">
        <v>2015</v>
      </c>
      <c r="C139" s="54" t="s">
        <v>63</v>
      </c>
      <c r="D139" s="53" t="s">
        <v>63</v>
      </c>
      <c r="E139" s="54"/>
      <c r="F139" s="54">
        <v>618</v>
      </c>
      <c r="G139" s="54">
        <v>353</v>
      </c>
      <c r="H139" s="41">
        <v>4</v>
      </c>
      <c r="I139" s="31"/>
      <c r="J139" s="31"/>
      <c r="K139" s="31" t="s">
        <v>64</v>
      </c>
      <c r="L139" s="52" t="s">
        <v>217</v>
      </c>
      <c r="M139" s="31"/>
      <c r="N139" s="35" t="s">
        <v>160</v>
      </c>
      <c r="O139" s="31"/>
      <c r="P139" s="32">
        <v>291</v>
      </c>
      <c r="Q139" s="48">
        <f>G139-P139</f>
        <v>62</v>
      </c>
      <c r="R139" s="31"/>
      <c r="S139" s="31"/>
    </row>
    <row r="140" spans="1:19" x14ac:dyDescent="0.25">
      <c r="A140" s="32"/>
      <c r="B140" s="37">
        <v>2015</v>
      </c>
      <c r="C140" s="32" t="s">
        <v>353</v>
      </c>
      <c r="D140" s="33" t="s">
        <v>353</v>
      </c>
      <c r="E140" s="32"/>
      <c r="F140" s="39">
        <v>31</v>
      </c>
      <c r="G140" s="32"/>
      <c r="H140" s="26">
        <v>2</v>
      </c>
      <c r="I140" s="31"/>
      <c r="J140" s="31"/>
      <c r="K140" s="31" t="s">
        <v>354</v>
      </c>
      <c r="L140" s="52" t="s">
        <v>217</v>
      </c>
      <c r="M140" s="31"/>
      <c r="N140" s="35" t="s">
        <v>160</v>
      </c>
      <c r="O140" s="31"/>
      <c r="P140" s="32"/>
      <c r="Q140" s="32"/>
      <c r="R140" s="31"/>
      <c r="S140" s="31"/>
    </row>
    <row r="141" spans="1:19" x14ac:dyDescent="0.25">
      <c r="A141" s="32"/>
      <c r="B141" s="37">
        <v>2015</v>
      </c>
      <c r="C141" s="32" t="s">
        <v>355</v>
      </c>
      <c r="D141" s="33" t="s">
        <v>355</v>
      </c>
      <c r="E141" s="32"/>
      <c r="F141" s="39">
        <v>82</v>
      </c>
      <c r="G141" s="32"/>
      <c r="H141" s="26">
        <v>2</v>
      </c>
      <c r="I141" s="31"/>
      <c r="J141" s="31"/>
      <c r="K141" s="31" t="s">
        <v>356</v>
      </c>
      <c r="L141" s="52" t="s">
        <v>217</v>
      </c>
      <c r="M141" s="31"/>
      <c r="N141" s="35" t="s">
        <v>160</v>
      </c>
      <c r="O141" s="31"/>
      <c r="P141" s="32"/>
      <c r="Q141" s="32"/>
      <c r="R141" s="31"/>
      <c r="S141" s="31"/>
    </row>
    <row r="142" spans="1:19" x14ac:dyDescent="0.25">
      <c r="A142" s="32"/>
      <c r="B142" s="37">
        <v>2015</v>
      </c>
      <c r="C142" s="135" t="s">
        <v>357</v>
      </c>
      <c r="D142" s="38" t="s">
        <v>358</v>
      </c>
      <c r="E142" s="32">
        <v>41</v>
      </c>
      <c r="F142" s="39"/>
      <c r="G142" s="32"/>
      <c r="H142" s="26">
        <v>1</v>
      </c>
      <c r="I142" s="31"/>
      <c r="J142" s="31"/>
      <c r="K142" s="31"/>
      <c r="L142" s="31"/>
      <c r="M142" s="31"/>
      <c r="N142" s="35"/>
      <c r="O142" s="31"/>
      <c r="P142" s="32"/>
      <c r="Q142" s="32"/>
      <c r="R142" s="31"/>
      <c r="S142" s="31"/>
    </row>
    <row r="143" spans="1:19" x14ac:dyDescent="0.25">
      <c r="A143" s="32">
        <v>1855</v>
      </c>
      <c r="B143" s="31" t="s">
        <v>155</v>
      </c>
      <c r="C143" s="135"/>
      <c r="D143" s="60" t="s">
        <v>359</v>
      </c>
      <c r="E143" s="61"/>
      <c r="F143" s="61">
        <v>12371</v>
      </c>
      <c r="G143" s="61"/>
      <c r="H143" s="62">
        <v>204</v>
      </c>
      <c r="I143" s="31"/>
      <c r="J143" s="31" t="s">
        <v>158</v>
      </c>
      <c r="K143" s="31" t="s">
        <v>65</v>
      </c>
      <c r="L143" s="31" t="s">
        <v>159</v>
      </c>
      <c r="M143" s="31"/>
      <c r="N143" s="35" t="s">
        <v>160</v>
      </c>
      <c r="O143" s="31"/>
      <c r="P143" s="32"/>
      <c r="Q143" s="32"/>
      <c r="R143" s="31"/>
      <c r="S143" s="31"/>
    </row>
    <row r="144" spans="1:19" x14ac:dyDescent="0.25">
      <c r="A144" s="32">
        <v>2059</v>
      </c>
      <c r="B144" s="31" t="s">
        <v>152</v>
      </c>
      <c r="C144" s="135"/>
      <c r="D144" s="33" t="s">
        <v>360</v>
      </c>
      <c r="E144" s="32"/>
      <c r="F144" s="39">
        <v>36</v>
      </c>
      <c r="G144" s="32"/>
      <c r="H144" s="26">
        <v>5</v>
      </c>
      <c r="I144" s="31"/>
      <c r="J144" s="31" t="s">
        <v>162</v>
      </c>
      <c r="K144" s="31" t="s">
        <v>65</v>
      </c>
      <c r="L144" s="31" t="s">
        <v>159</v>
      </c>
      <c r="M144" s="31"/>
      <c r="N144" s="35" t="s">
        <v>160</v>
      </c>
      <c r="O144" s="31"/>
      <c r="P144" s="32"/>
      <c r="Q144" s="32"/>
      <c r="R144" s="31"/>
      <c r="S144" s="31"/>
    </row>
    <row r="145" spans="1:19" x14ac:dyDescent="0.25">
      <c r="A145" s="31"/>
      <c r="B145" s="31" t="s">
        <v>149</v>
      </c>
      <c r="C145" s="135"/>
      <c r="D145" s="33" t="s">
        <v>361</v>
      </c>
      <c r="E145" s="32"/>
      <c r="F145" s="39">
        <v>210</v>
      </c>
      <c r="G145" s="32"/>
      <c r="H145" s="26">
        <v>2</v>
      </c>
      <c r="I145" s="31"/>
      <c r="J145" s="31"/>
      <c r="K145" s="31"/>
      <c r="L145" s="31"/>
      <c r="M145" s="31"/>
      <c r="N145" s="30" t="s">
        <v>289</v>
      </c>
      <c r="O145" s="31"/>
      <c r="P145" s="32"/>
      <c r="Q145" s="32"/>
      <c r="R145" s="31"/>
      <c r="S145" s="31"/>
    </row>
    <row r="146" spans="1:19" x14ac:dyDescent="0.25">
      <c r="A146" s="31"/>
      <c r="B146" s="31" t="s">
        <v>218</v>
      </c>
      <c r="C146" s="135"/>
      <c r="D146" s="33" t="s">
        <v>362</v>
      </c>
      <c r="E146" s="32"/>
      <c r="F146" s="39">
        <v>84</v>
      </c>
      <c r="G146" s="139">
        <v>157</v>
      </c>
      <c r="H146" s="26">
        <v>4</v>
      </c>
      <c r="I146" s="31"/>
      <c r="J146" s="31" t="s">
        <v>221</v>
      </c>
      <c r="K146" s="31" t="s">
        <v>65</v>
      </c>
      <c r="L146" s="31" t="s">
        <v>159</v>
      </c>
      <c r="M146" s="31"/>
      <c r="N146" s="35" t="s">
        <v>160</v>
      </c>
      <c r="O146" s="31"/>
      <c r="P146" s="139">
        <f>42+40</f>
        <v>82</v>
      </c>
      <c r="Q146" s="149">
        <f>G146-P146</f>
        <v>75</v>
      </c>
      <c r="R146" s="31"/>
      <c r="S146" s="31"/>
    </row>
    <row r="147" spans="1:19" x14ac:dyDescent="0.25">
      <c r="A147" s="31"/>
      <c r="B147" s="31" t="s">
        <v>218</v>
      </c>
      <c r="C147" s="135"/>
      <c r="D147" s="33" t="s">
        <v>363</v>
      </c>
      <c r="E147" s="32">
        <v>57</v>
      </c>
      <c r="F147" s="39"/>
      <c r="G147" s="141"/>
      <c r="H147" s="26">
        <v>1</v>
      </c>
      <c r="I147" s="31"/>
      <c r="J147" s="31" t="s">
        <v>221</v>
      </c>
      <c r="K147" s="31" t="s">
        <v>65</v>
      </c>
      <c r="L147" s="31" t="s">
        <v>159</v>
      </c>
      <c r="M147" s="31"/>
      <c r="N147" s="35" t="s">
        <v>160</v>
      </c>
      <c r="O147" s="31"/>
      <c r="P147" s="141"/>
      <c r="Q147" s="150"/>
      <c r="R147" s="31"/>
      <c r="S147" s="31"/>
    </row>
    <row r="148" spans="1:19" x14ac:dyDescent="0.25">
      <c r="A148" s="31"/>
      <c r="B148" s="31" t="s">
        <v>152</v>
      </c>
      <c r="C148" s="135"/>
      <c r="D148" s="33" t="s">
        <v>364</v>
      </c>
      <c r="E148" s="39"/>
      <c r="F148" s="39">
        <v>969</v>
      </c>
      <c r="G148" s="39">
        <v>500</v>
      </c>
      <c r="H148" s="72">
        <v>43</v>
      </c>
      <c r="I148" s="31"/>
      <c r="J148" s="31" t="s">
        <v>162</v>
      </c>
      <c r="K148" s="31" t="s">
        <v>65</v>
      </c>
      <c r="L148" s="31" t="s">
        <v>159</v>
      </c>
      <c r="M148" s="31"/>
      <c r="N148" s="35" t="s">
        <v>160</v>
      </c>
      <c r="O148" s="31"/>
      <c r="P148" s="32">
        <f>498+1800+264</f>
        <v>2562</v>
      </c>
      <c r="Q148" s="46">
        <f>G148-P148</f>
        <v>-2062</v>
      </c>
      <c r="R148" s="31"/>
      <c r="S148" s="31"/>
    </row>
    <row r="149" spans="1:19" ht="15.75" x14ac:dyDescent="0.25">
      <c r="A149" s="32"/>
      <c r="B149" s="37">
        <v>2015</v>
      </c>
      <c r="C149" s="135" t="s">
        <v>365</v>
      </c>
      <c r="D149" s="53" t="s">
        <v>365</v>
      </c>
      <c r="E149" s="65"/>
      <c r="F149" s="65">
        <v>327</v>
      </c>
      <c r="G149" s="65"/>
      <c r="H149" s="63">
        <v>3</v>
      </c>
      <c r="I149" s="31"/>
      <c r="J149" s="31"/>
      <c r="K149" s="31" t="s">
        <v>67</v>
      </c>
      <c r="L149" s="31" t="s">
        <v>366</v>
      </c>
      <c r="M149" s="31"/>
      <c r="N149" s="35" t="s">
        <v>160</v>
      </c>
      <c r="O149" s="31"/>
      <c r="P149" s="32"/>
      <c r="Q149" s="32"/>
      <c r="R149" s="31"/>
      <c r="S149" s="31"/>
    </row>
    <row r="150" spans="1:19" x14ac:dyDescent="0.25">
      <c r="A150" s="32">
        <v>2198</v>
      </c>
      <c r="B150" s="31" t="s">
        <v>152</v>
      </c>
      <c r="C150" s="146"/>
      <c r="D150" s="55" t="s">
        <v>367</v>
      </c>
      <c r="E150" s="32">
        <v>47</v>
      </c>
      <c r="F150" s="32"/>
      <c r="G150" s="32"/>
      <c r="H150" s="26">
        <v>1</v>
      </c>
      <c r="I150" s="31"/>
      <c r="J150" s="31" t="s">
        <v>162</v>
      </c>
      <c r="K150" s="31" t="s">
        <v>67</v>
      </c>
      <c r="L150" s="31" t="s">
        <v>366</v>
      </c>
      <c r="M150" s="31"/>
      <c r="N150" s="35" t="s">
        <v>160</v>
      </c>
      <c r="O150" s="31"/>
      <c r="P150" s="32"/>
      <c r="Q150" s="32"/>
      <c r="R150" s="31"/>
      <c r="S150" s="31"/>
    </row>
    <row r="151" spans="1:19" x14ac:dyDescent="0.25">
      <c r="A151" s="32"/>
      <c r="B151" s="37">
        <v>2015</v>
      </c>
      <c r="C151" s="41" t="s">
        <v>368</v>
      </c>
      <c r="D151" s="53" t="s">
        <v>368</v>
      </c>
      <c r="E151" s="54"/>
      <c r="F151" s="54">
        <v>449</v>
      </c>
      <c r="G151" s="54"/>
      <c r="H151" s="41">
        <v>4</v>
      </c>
      <c r="I151" s="31"/>
      <c r="J151" s="31"/>
      <c r="K151" s="31" t="s">
        <v>69</v>
      </c>
      <c r="L151" s="31" t="s">
        <v>366</v>
      </c>
      <c r="M151" s="31"/>
      <c r="N151" s="35" t="s">
        <v>160</v>
      </c>
      <c r="O151" s="31"/>
      <c r="P151" s="32"/>
      <c r="Q151" s="32"/>
      <c r="R151" s="31"/>
      <c r="S151" s="31"/>
    </row>
    <row r="152" spans="1:19" x14ac:dyDescent="0.25">
      <c r="A152" s="32"/>
      <c r="B152" s="37">
        <v>2015</v>
      </c>
      <c r="C152" s="136" t="s">
        <v>369</v>
      </c>
      <c r="D152" s="33" t="s">
        <v>369</v>
      </c>
      <c r="E152" s="39">
        <v>23</v>
      </c>
      <c r="F152" s="39"/>
      <c r="G152" s="39"/>
      <c r="H152" s="72">
        <v>1</v>
      </c>
      <c r="I152" s="31"/>
      <c r="J152" s="31"/>
      <c r="K152" s="31" t="s">
        <v>370</v>
      </c>
      <c r="L152" s="31" t="s">
        <v>366</v>
      </c>
      <c r="M152" s="31"/>
      <c r="N152" s="35" t="s">
        <v>160</v>
      </c>
      <c r="O152" s="31"/>
      <c r="P152" s="32"/>
      <c r="Q152" s="32"/>
      <c r="R152" s="31"/>
      <c r="S152" s="31"/>
    </row>
    <row r="153" spans="1:19" x14ac:dyDescent="0.25">
      <c r="A153" s="32">
        <v>2199</v>
      </c>
      <c r="B153" s="31" t="s">
        <v>152</v>
      </c>
      <c r="C153" s="136"/>
      <c r="D153" s="33" t="s">
        <v>371</v>
      </c>
      <c r="E153" s="32">
        <v>5</v>
      </c>
      <c r="F153" s="32"/>
      <c r="G153" s="32"/>
      <c r="H153" s="26">
        <v>1</v>
      </c>
      <c r="I153" s="31"/>
      <c r="J153" s="31" t="s">
        <v>162</v>
      </c>
      <c r="K153" s="31" t="s">
        <v>370</v>
      </c>
      <c r="L153" s="31" t="s">
        <v>366</v>
      </c>
      <c r="M153" s="31"/>
      <c r="N153" s="35" t="s">
        <v>160</v>
      </c>
      <c r="O153" s="31"/>
      <c r="P153" s="32"/>
      <c r="Q153" s="32"/>
      <c r="R153" s="31"/>
      <c r="S153" s="31"/>
    </row>
    <row r="154" spans="1:19" x14ac:dyDescent="0.25">
      <c r="A154" s="32"/>
      <c r="B154" s="37">
        <v>2015</v>
      </c>
      <c r="C154" s="136" t="s">
        <v>372</v>
      </c>
      <c r="D154" s="33" t="s">
        <v>372</v>
      </c>
      <c r="E154" s="39"/>
      <c r="F154" s="39">
        <v>129</v>
      </c>
      <c r="G154" s="39"/>
      <c r="H154" s="72">
        <v>2</v>
      </c>
      <c r="I154" s="31"/>
      <c r="J154" s="31"/>
      <c r="K154" s="31" t="s">
        <v>373</v>
      </c>
      <c r="L154" s="31" t="s">
        <v>366</v>
      </c>
      <c r="M154" s="31"/>
      <c r="N154" s="35" t="s">
        <v>160</v>
      </c>
      <c r="O154" s="31"/>
      <c r="P154" s="32"/>
      <c r="Q154" s="32"/>
      <c r="R154" s="31"/>
      <c r="S154" s="31"/>
    </row>
    <row r="155" spans="1:19" x14ac:dyDescent="0.25">
      <c r="A155" s="32">
        <v>2200</v>
      </c>
      <c r="B155" s="31" t="s">
        <v>152</v>
      </c>
      <c r="C155" s="136"/>
      <c r="D155" s="33" t="s">
        <v>374</v>
      </c>
      <c r="E155" s="32">
        <v>4</v>
      </c>
      <c r="F155" s="32"/>
      <c r="G155" s="32"/>
      <c r="H155" s="26">
        <v>1</v>
      </c>
      <c r="I155" s="31"/>
      <c r="J155" s="31" t="s">
        <v>162</v>
      </c>
      <c r="K155" s="31" t="s">
        <v>373</v>
      </c>
      <c r="L155" s="31" t="s">
        <v>366</v>
      </c>
      <c r="M155" s="31"/>
      <c r="N155" s="35" t="s">
        <v>160</v>
      </c>
      <c r="O155" s="31"/>
      <c r="P155" s="32"/>
      <c r="Q155" s="32"/>
      <c r="R155" s="31"/>
      <c r="S155" s="31"/>
    </row>
    <row r="156" spans="1:19" x14ac:dyDescent="0.25">
      <c r="A156" s="32"/>
      <c r="B156" s="37">
        <v>2015</v>
      </c>
      <c r="C156" s="41" t="s">
        <v>375</v>
      </c>
      <c r="D156" s="53" t="s">
        <v>375</v>
      </c>
      <c r="E156" s="54"/>
      <c r="F156" s="54">
        <v>502</v>
      </c>
      <c r="G156" s="54"/>
      <c r="H156" s="41">
        <v>4</v>
      </c>
      <c r="I156" s="31"/>
      <c r="J156" s="31"/>
      <c r="K156" s="31" t="s">
        <v>71</v>
      </c>
      <c r="L156" s="31" t="s">
        <v>366</v>
      </c>
      <c r="M156" s="31"/>
      <c r="N156" s="35" t="s">
        <v>160</v>
      </c>
      <c r="O156" s="31"/>
      <c r="P156" s="32"/>
      <c r="Q156" s="32"/>
      <c r="R156" s="31"/>
      <c r="S156" s="31"/>
    </row>
    <row r="157" spans="1:19" x14ac:dyDescent="0.25">
      <c r="A157" s="32"/>
      <c r="B157" s="37">
        <v>2015</v>
      </c>
      <c r="C157" s="152" t="s">
        <v>376</v>
      </c>
      <c r="D157" s="33" t="s">
        <v>376</v>
      </c>
      <c r="E157" s="32">
        <v>50</v>
      </c>
      <c r="F157" s="32"/>
      <c r="G157" s="32"/>
      <c r="H157" s="26">
        <v>1</v>
      </c>
      <c r="I157" s="31"/>
      <c r="J157" s="31"/>
      <c r="K157" s="31" t="s">
        <v>73</v>
      </c>
      <c r="L157" s="31" t="s">
        <v>366</v>
      </c>
      <c r="M157" s="31"/>
      <c r="N157" s="35" t="s">
        <v>160</v>
      </c>
      <c r="O157" s="31"/>
      <c r="Q157" s="48"/>
      <c r="R157" s="31"/>
      <c r="S157" s="31"/>
    </row>
    <row r="158" spans="1:19" x14ac:dyDescent="0.25">
      <c r="A158" s="32">
        <v>2116</v>
      </c>
      <c r="B158" s="31" t="s">
        <v>155</v>
      </c>
      <c r="C158" s="153"/>
      <c r="D158" s="53" t="s">
        <v>377</v>
      </c>
      <c r="E158" s="54"/>
      <c r="F158" s="54">
        <v>2307</v>
      </c>
      <c r="G158" s="54">
        <v>920</v>
      </c>
      <c r="H158" s="41">
        <v>82</v>
      </c>
      <c r="I158" s="31"/>
      <c r="J158" s="31" t="s">
        <v>158</v>
      </c>
      <c r="K158" s="31" t="s">
        <v>73</v>
      </c>
      <c r="L158" s="31" t="s">
        <v>366</v>
      </c>
      <c r="M158" s="31"/>
      <c r="N158" s="35" t="s">
        <v>160</v>
      </c>
      <c r="O158" s="31"/>
      <c r="P158" s="32">
        <v>540</v>
      </c>
      <c r="Q158" s="48">
        <f>G158-P158</f>
        <v>380</v>
      </c>
      <c r="R158" s="31"/>
      <c r="S158" s="31"/>
    </row>
    <row r="159" spans="1:19" x14ac:dyDescent="0.25">
      <c r="A159" s="32"/>
      <c r="B159" s="37">
        <v>2015</v>
      </c>
      <c r="C159" s="136" t="s">
        <v>378</v>
      </c>
      <c r="D159" s="33" t="s">
        <v>378</v>
      </c>
      <c r="E159" s="32"/>
      <c r="F159" s="32">
        <v>155</v>
      </c>
      <c r="G159" s="32"/>
      <c r="H159" s="26">
        <v>4</v>
      </c>
      <c r="I159" s="31"/>
      <c r="J159" s="31"/>
      <c r="K159" s="31" t="s">
        <v>379</v>
      </c>
      <c r="L159" s="31" t="s">
        <v>366</v>
      </c>
      <c r="M159" s="31"/>
      <c r="N159" s="35" t="s">
        <v>160</v>
      </c>
      <c r="O159" s="31"/>
      <c r="P159" s="32"/>
      <c r="Q159" s="32"/>
      <c r="R159" s="31"/>
      <c r="S159" s="31"/>
    </row>
    <row r="160" spans="1:19" x14ac:dyDescent="0.25">
      <c r="A160" s="32">
        <v>2201</v>
      </c>
      <c r="B160" s="31" t="s">
        <v>152</v>
      </c>
      <c r="C160" s="136"/>
      <c r="D160" s="33" t="s">
        <v>380</v>
      </c>
      <c r="E160" s="32">
        <v>5</v>
      </c>
      <c r="F160" s="32"/>
      <c r="G160" s="32"/>
      <c r="H160" s="26">
        <v>1</v>
      </c>
      <c r="I160" s="31"/>
      <c r="J160" s="31" t="s">
        <v>162</v>
      </c>
      <c r="K160" s="31" t="s">
        <v>379</v>
      </c>
      <c r="L160" s="31" t="s">
        <v>366</v>
      </c>
      <c r="M160" s="31"/>
      <c r="N160" s="35" t="s">
        <v>160</v>
      </c>
      <c r="O160" s="31"/>
      <c r="P160" s="32"/>
      <c r="Q160" s="32"/>
      <c r="R160" s="31"/>
      <c r="S160" s="31"/>
    </row>
    <row r="161" spans="1:19" x14ac:dyDescent="0.25">
      <c r="A161" s="32"/>
      <c r="B161" s="37">
        <v>2015</v>
      </c>
      <c r="C161" s="42" t="s">
        <v>381</v>
      </c>
      <c r="D161" s="38" t="s">
        <v>381</v>
      </c>
      <c r="E161" s="39">
        <v>50</v>
      </c>
      <c r="F161" s="32"/>
      <c r="G161" s="32"/>
      <c r="H161" s="26">
        <v>1</v>
      </c>
      <c r="I161" s="31"/>
      <c r="J161" s="31"/>
      <c r="K161" s="31" t="s">
        <v>382</v>
      </c>
      <c r="L161" s="31" t="s">
        <v>366</v>
      </c>
      <c r="M161" s="31"/>
      <c r="N161" s="35" t="s">
        <v>160</v>
      </c>
      <c r="O161" s="31"/>
      <c r="P161" s="32"/>
      <c r="Q161" s="32"/>
      <c r="R161" s="31"/>
      <c r="S161" s="31"/>
    </row>
    <row r="162" spans="1:19" x14ac:dyDescent="0.25">
      <c r="A162" s="32"/>
      <c r="B162" s="37">
        <v>2015</v>
      </c>
      <c r="C162" s="42" t="s">
        <v>383</v>
      </c>
      <c r="D162" s="38" t="s">
        <v>383</v>
      </c>
      <c r="E162" s="39">
        <v>18</v>
      </c>
      <c r="F162" s="32"/>
      <c r="G162" s="32"/>
      <c r="H162" s="26">
        <v>1</v>
      </c>
      <c r="I162" s="31"/>
      <c r="J162" s="31"/>
      <c r="K162" s="31" t="s">
        <v>384</v>
      </c>
      <c r="L162" s="31" t="s">
        <v>366</v>
      </c>
      <c r="M162" s="31"/>
      <c r="N162" s="35" t="s">
        <v>160</v>
      </c>
      <c r="O162" s="31"/>
      <c r="P162" s="32"/>
      <c r="Q162" s="32"/>
      <c r="R162" s="31"/>
      <c r="S162" s="31"/>
    </row>
    <row r="163" spans="1:19" x14ac:dyDescent="0.25">
      <c r="A163" s="32"/>
      <c r="B163" s="37">
        <v>2015</v>
      </c>
      <c r="C163" s="41" t="s">
        <v>385</v>
      </c>
      <c r="D163" s="36" t="s">
        <v>385</v>
      </c>
      <c r="E163" s="54"/>
      <c r="F163" s="54">
        <v>113</v>
      </c>
      <c r="G163" s="54"/>
      <c r="H163" s="41">
        <v>2</v>
      </c>
      <c r="I163" s="31"/>
      <c r="J163" s="31"/>
      <c r="K163" s="31" t="s">
        <v>75</v>
      </c>
      <c r="L163" s="31" t="s">
        <v>366</v>
      </c>
      <c r="M163" s="31"/>
      <c r="N163" s="35" t="s">
        <v>160</v>
      </c>
      <c r="O163" s="31"/>
      <c r="P163" s="32"/>
      <c r="Q163" s="32"/>
      <c r="R163" s="31"/>
      <c r="S163" s="31"/>
    </row>
    <row r="164" spans="1:19" x14ac:dyDescent="0.25">
      <c r="A164" s="32">
        <v>2202</v>
      </c>
      <c r="B164" s="31" t="s">
        <v>152</v>
      </c>
      <c r="C164" s="135" t="s">
        <v>386</v>
      </c>
      <c r="D164" s="15" t="s">
        <v>387</v>
      </c>
      <c r="E164" s="61"/>
      <c r="F164" s="61">
        <v>273</v>
      </c>
      <c r="G164" s="61">
        <v>745</v>
      </c>
      <c r="H164" s="62">
        <v>27</v>
      </c>
      <c r="I164" s="31"/>
      <c r="J164" s="31" t="s">
        <v>162</v>
      </c>
      <c r="K164" s="31"/>
      <c r="L164" s="31"/>
      <c r="M164" s="31" t="s">
        <v>227</v>
      </c>
      <c r="N164" s="30" t="s">
        <v>193</v>
      </c>
      <c r="O164" s="31"/>
      <c r="P164" s="32">
        <v>955</v>
      </c>
      <c r="Q164" s="46">
        <f>G164-P164</f>
        <v>-210</v>
      </c>
      <c r="R164" s="31"/>
      <c r="S164" s="31"/>
    </row>
    <row r="165" spans="1:19" x14ac:dyDescent="0.25">
      <c r="A165" s="32">
        <v>2209</v>
      </c>
      <c r="B165" s="31" t="s">
        <v>204</v>
      </c>
      <c r="C165" s="135"/>
      <c r="D165" s="33" t="s">
        <v>388</v>
      </c>
      <c r="E165" s="32"/>
      <c r="F165" s="32">
        <v>219</v>
      </c>
      <c r="G165" s="32"/>
      <c r="H165" s="26">
        <v>20</v>
      </c>
      <c r="I165" s="31"/>
      <c r="J165" s="31" t="s">
        <v>206</v>
      </c>
      <c r="K165" s="31"/>
      <c r="L165" s="31"/>
      <c r="M165" s="31"/>
      <c r="N165" s="35" t="s">
        <v>160</v>
      </c>
      <c r="O165" s="31"/>
      <c r="P165" s="32"/>
      <c r="Q165" s="32"/>
      <c r="R165" s="31"/>
      <c r="S165" s="31"/>
    </row>
    <row r="166" spans="1:19" x14ac:dyDescent="0.25">
      <c r="A166" s="31"/>
      <c r="B166" s="31" t="s">
        <v>204</v>
      </c>
      <c r="C166" s="135"/>
      <c r="D166" s="33" t="s">
        <v>389</v>
      </c>
      <c r="E166" s="32"/>
      <c r="F166" s="32">
        <v>294</v>
      </c>
      <c r="G166" s="32"/>
      <c r="H166" s="26">
        <v>29</v>
      </c>
      <c r="I166" s="31"/>
      <c r="J166" s="31" t="s">
        <v>206</v>
      </c>
      <c r="K166" s="31"/>
      <c r="L166" s="31"/>
      <c r="M166" s="31"/>
      <c r="N166" s="35" t="s">
        <v>160</v>
      </c>
      <c r="O166" s="31"/>
      <c r="P166" s="32"/>
      <c r="Q166" s="32"/>
      <c r="R166" s="31"/>
      <c r="S166" s="31"/>
    </row>
    <row r="167" spans="1:19" x14ac:dyDescent="0.25">
      <c r="A167" s="31"/>
      <c r="B167" s="31" t="s">
        <v>204</v>
      </c>
      <c r="C167" s="135"/>
      <c r="D167" s="53" t="s">
        <v>390</v>
      </c>
      <c r="E167" s="54"/>
      <c r="F167" s="54">
        <v>423</v>
      </c>
      <c r="G167" s="54"/>
      <c r="H167" s="41">
        <v>26</v>
      </c>
      <c r="I167" s="31"/>
      <c r="J167" s="31" t="s">
        <v>206</v>
      </c>
      <c r="K167" s="31"/>
      <c r="L167" s="31"/>
      <c r="M167" s="31"/>
      <c r="N167" s="35" t="s">
        <v>160</v>
      </c>
      <c r="O167" s="31"/>
      <c r="P167" s="32"/>
      <c r="Q167" s="32"/>
      <c r="R167" s="31"/>
      <c r="S167" s="31"/>
    </row>
    <row r="168" spans="1:19" x14ac:dyDescent="0.25">
      <c r="A168" s="31"/>
      <c r="B168" s="31" t="s">
        <v>204</v>
      </c>
      <c r="C168" s="135"/>
      <c r="D168" s="33" t="s">
        <v>391</v>
      </c>
      <c r="E168" s="32"/>
      <c r="F168" s="32">
        <v>469</v>
      </c>
      <c r="G168" s="32"/>
      <c r="H168" s="26">
        <v>33</v>
      </c>
      <c r="I168" s="31"/>
      <c r="J168" s="31" t="s">
        <v>206</v>
      </c>
      <c r="K168" s="31"/>
      <c r="L168" s="31"/>
      <c r="M168" s="31"/>
      <c r="N168" s="35" t="s">
        <v>160</v>
      </c>
      <c r="O168" s="31"/>
      <c r="P168" s="32"/>
      <c r="Q168" s="32"/>
      <c r="R168" s="31"/>
      <c r="S168" s="31"/>
    </row>
    <row r="169" spans="1:19" x14ac:dyDescent="0.25">
      <c r="A169" s="31"/>
      <c r="B169" s="31" t="s">
        <v>204</v>
      </c>
      <c r="C169" s="135"/>
      <c r="D169" s="33" t="s">
        <v>392</v>
      </c>
      <c r="E169" s="32"/>
      <c r="F169" s="32">
        <v>290</v>
      </c>
      <c r="G169" s="32"/>
      <c r="H169" s="26">
        <v>28</v>
      </c>
      <c r="I169" s="31"/>
      <c r="J169" s="31" t="s">
        <v>206</v>
      </c>
      <c r="K169" s="31"/>
      <c r="L169" s="31"/>
      <c r="M169" s="31"/>
      <c r="N169" s="35" t="s">
        <v>160</v>
      </c>
      <c r="O169" s="31"/>
      <c r="P169" s="32"/>
      <c r="Q169" s="32"/>
      <c r="R169" s="31"/>
      <c r="S169" s="31"/>
    </row>
    <row r="170" spans="1:19" x14ac:dyDescent="0.25">
      <c r="A170" s="31"/>
      <c r="B170" s="31" t="s">
        <v>204</v>
      </c>
      <c r="C170" s="135"/>
      <c r="D170" s="33" t="s">
        <v>393</v>
      </c>
      <c r="E170" s="32"/>
      <c r="F170" s="32">
        <v>322</v>
      </c>
      <c r="G170" s="32"/>
      <c r="H170" s="26">
        <v>28</v>
      </c>
      <c r="I170" s="31"/>
      <c r="J170" s="31" t="s">
        <v>206</v>
      </c>
      <c r="K170" s="31"/>
      <c r="L170" s="31"/>
      <c r="M170" s="31"/>
      <c r="N170" s="35" t="s">
        <v>160</v>
      </c>
      <c r="O170" s="31"/>
      <c r="P170" s="32"/>
      <c r="Q170" s="32"/>
      <c r="R170" s="31"/>
      <c r="S170" s="31"/>
    </row>
    <row r="171" spans="1:19" x14ac:dyDescent="0.25">
      <c r="A171" s="31"/>
      <c r="B171" s="31" t="s">
        <v>204</v>
      </c>
      <c r="C171" s="135"/>
      <c r="D171" s="33" t="s">
        <v>394</v>
      </c>
      <c r="E171" s="32"/>
      <c r="F171" s="32">
        <v>113</v>
      </c>
      <c r="G171" s="32"/>
      <c r="H171" s="26">
        <v>15</v>
      </c>
      <c r="I171" s="31"/>
      <c r="J171" s="31" t="s">
        <v>206</v>
      </c>
      <c r="K171" s="31"/>
      <c r="L171" s="31"/>
      <c r="M171" s="31"/>
      <c r="N171" s="35" t="s">
        <v>160</v>
      </c>
      <c r="O171" s="31"/>
      <c r="P171" s="32"/>
      <c r="Q171" s="32"/>
      <c r="R171" s="31"/>
      <c r="S171" s="31"/>
    </row>
    <row r="172" spans="1:19" x14ac:dyDescent="0.25">
      <c r="A172" s="31"/>
      <c r="B172" s="31" t="s">
        <v>204</v>
      </c>
      <c r="C172" s="135"/>
      <c r="D172" s="53" t="s">
        <v>395</v>
      </c>
      <c r="E172" s="54"/>
      <c r="F172" s="54">
        <v>563</v>
      </c>
      <c r="G172" s="54"/>
      <c r="H172" s="41">
        <v>27</v>
      </c>
      <c r="I172" s="31"/>
      <c r="J172" s="31" t="s">
        <v>206</v>
      </c>
      <c r="K172" s="31"/>
      <c r="L172" s="31"/>
      <c r="M172" s="31"/>
      <c r="N172" s="35" t="s">
        <v>160</v>
      </c>
      <c r="O172" s="31"/>
      <c r="P172" s="32"/>
      <c r="Q172" s="32"/>
      <c r="R172" s="31"/>
      <c r="S172" s="31"/>
    </row>
    <row r="173" spans="1:19" x14ac:dyDescent="0.25">
      <c r="A173" s="31"/>
      <c r="B173" s="31" t="s">
        <v>204</v>
      </c>
      <c r="C173" s="135"/>
      <c r="D173" s="53" t="s">
        <v>396</v>
      </c>
      <c r="E173" s="54"/>
      <c r="F173" s="54">
        <v>1026</v>
      </c>
      <c r="G173" s="54"/>
      <c r="H173" s="41">
        <v>47</v>
      </c>
      <c r="I173" s="31"/>
      <c r="J173" s="31" t="s">
        <v>206</v>
      </c>
      <c r="K173" s="31"/>
      <c r="L173" s="31"/>
      <c r="M173" s="31"/>
      <c r="N173" s="35" t="s">
        <v>160</v>
      </c>
      <c r="O173" s="31"/>
      <c r="P173" s="32"/>
      <c r="Q173" s="32"/>
      <c r="R173" s="31"/>
      <c r="S173" s="31"/>
    </row>
    <row r="174" spans="1:19" x14ac:dyDescent="0.25">
      <c r="A174" s="31"/>
      <c r="B174" s="31" t="s">
        <v>204</v>
      </c>
      <c r="C174" s="135"/>
      <c r="D174" s="33" t="s">
        <v>397</v>
      </c>
      <c r="E174" s="32"/>
      <c r="F174" s="32">
        <v>231</v>
      </c>
      <c r="G174" s="32"/>
      <c r="H174" s="26">
        <v>22</v>
      </c>
      <c r="I174" s="31"/>
      <c r="J174" s="31" t="s">
        <v>206</v>
      </c>
      <c r="K174" s="31"/>
      <c r="L174" s="31"/>
      <c r="M174" s="31"/>
      <c r="N174" s="35" t="s">
        <v>160</v>
      </c>
      <c r="O174" s="31"/>
      <c r="P174" s="32"/>
      <c r="Q174" s="32"/>
      <c r="R174" s="31"/>
      <c r="S174" s="31"/>
    </row>
    <row r="175" spans="1:19" x14ac:dyDescent="0.25">
      <c r="A175" s="32">
        <v>2513</v>
      </c>
      <c r="B175" s="31" t="s">
        <v>218</v>
      </c>
      <c r="C175" s="136" t="s">
        <v>398</v>
      </c>
      <c r="D175" s="33" t="s">
        <v>399</v>
      </c>
      <c r="E175" s="32">
        <v>28</v>
      </c>
      <c r="F175" s="32"/>
      <c r="G175" s="32"/>
      <c r="H175" s="26">
        <v>1</v>
      </c>
      <c r="I175" s="31"/>
      <c r="J175" s="31" t="s">
        <v>221</v>
      </c>
      <c r="K175" s="31"/>
      <c r="L175" s="31"/>
      <c r="M175" s="31"/>
      <c r="N175" s="30" t="s">
        <v>193</v>
      </c>
      <c r="O175" s="31"/>
      <c r="P175" s="32"/>
      <c r="Q175" s="32"/>
      <c r="R175" s="31"/>
      <c r="S175" s="31"/>
    </row>
    <row r="176" spans="1:19" x14ac:dyDescent="0.25">
      <c r="A176" s="31"/>
      <c r="B176" s="31" t="s">
        <v>218</v>
      </c>
      <c r="C176" s="136"/>
      <c r="D176" s="33" t="s">
        <v>400</v>
      </c>
      <c r="E176" s="32">
        <v>84</v>
      </c>
      <c r="F176" s="32"/>
      <c r="G176" s="32"/>
      <c r="H176" s="26">
        <v>1</v>
      </c>
      <c r="I176" s="31"/>
      <c r="J176" s="31" t="s">
        <v>221</v>
      </c>
      <c r="K176" s="31"/>
      <c r="L176" s="31"/>
      <c r="M176" s="31"/>
      <c r="N176" s="30" t="s">
        <v>193</v>
      </c>
      <c r="O176" s="31"/>
      <c r="P176" s="32"/>
      <c r="Q176" s="32"/>
      <c r="R176" s="31"/>
      <c r="S176" s="31"/>
    </row>
    <row r="177" spans="1:19" x14ac:dyDescent="0.25">
      <c r="A177" s="31"/>
      <c r="B177" s="31" t="s">
        <v>218</v>
      </c>
      <c r="C177" s="136"/>
      <c r="D177" s="53" t="s">
        <v>401</v>
      </c>
      <c r="E177" s="54"/>
      <c r="F177" s="54">
        <v>923</v>
      </c>
      <c r="G177" s="54">
        <v>607</v>
      </c>
      <c r="H177" s="41">
        <v>51</v>
      </c>
      <c r="I177" s="31"/>
      <c r="J177" s="31" t="s">
        <v>221</v>
      </c>
      <c r="K177" s="31"/>
      <c r="L177" s="31"/>
      <c r="M177" s="31" t="s">
        <v>227</v>
      </c>
      <c r="N177" s="30" t="s">
        <v>193</v>
      </c>
      <c r="O177" s="31"/>
      <c r="P177" s="32">
        <v>540</v>
      </c>
      <c r="Q177" s="48">
        <f>G177-P177</f>
        <v>67</v>
      </c>
      <c r="R177" s="31"/>
      <c r="S177" s="31"/>
    </row>
    <row r="178" spans="1:19" x14ac:dyDescent="0.25">
      <c r="A178" s="31"/>
      <c r="B178" s="31" t="s">
        <v>234</v>
      </c>
      <c r="C178" s="136"/>
      <c r="D178" s="33" t="s">
        <v>402</v>
      </c>
      <c r="E178" s="32"/>
      <c r="F178" s="32">
        <v>143</v>
      </c>
      <c r="H178" s="26">
        <v>5</v>
      </c>
      <c r="I178" s="31"/>
      <c r="J178" s="31" t="s">
        <v>236</v>
      </c>
      <c r="K178" s="31"/>
      <c r="L178" s="31"/>
      <c r="M178" s="31"/>
      <c r="N178" s="30" t="s">
        <v>193</v>
      </c>
      <c r="O178" s="31"/>
      <c r="P178" s="32"/>
      <c r="Q178" s="32"/>
      <c r="R178" s="31"/>
      <c r="S178" s="31"/>
    </row>
    <row r="179" spans="1:19" x14ac:dyDescent="0.25">
      <c r="A179" s="31"/>
      <c r="B179" s="31" t="s">
        <v>152</v>
      </c>
      <c r="C179" s="136"/>
      <c r="D179" s="33" t="s">
        <v>403</v>
      </c>
      <c r="E179" s="32">
        <v>18</v>
      </c>
      <c r="F179" s="32"/>
      <c r="G179" s="32"/>
      <c r="H179" s="26"/>
      <c r="I179" s="31"/>
      <c r="J179" s="31" t="s">
        <v>162</v>
      </c>
      <c r="K179" s="31"/>
      <c r="L179" s="31"/>
      <c r="M179" s="31" t="s">
        <v>404</v>
      </c>
      <c r="N179" s="30" t="s">
        <v>405</v>
      </c>
      <c r="O179" s="31"/>
      <c r="P179" s="32"/>
      <c r="Q179" s="32"/>
      <c r="R179" s="31"/>
      <c r="S179" s="31"/>
    </row>
    <row r="180" spans="1:19" x14ac:dyDescent="0.25">
      <c r="A180" s="31"/>
      <c r="B180" s="31" t="s">
        <v>152</v>
      </c>
      <c r="C180" s="136"/>
      <c r="D180" s="33" t="s">
        <v>406</v>
      </c>
      <c r="E180" s="39"/>
      <c r="F180" s="39">
        <v>523</v>
      </c>
      <c r="G180" s="39">
        <v>139</v>
      </c>
      <c r="H180" s="72">
        <v>37</v>
      </c>
      <c r="I180" s="31"/>
      <c r="J180" s="31" t="s">
        <v>162</v>
      </c>
      <c r="K180" s="31"/>
      <c r="L180" s="31"/>
      <c r="M180" s="31"/>
      <c r="N180" s="35" t="s">
        <v>160</v>
      </c>
      <c r="O180" s="31"/>
      <c r="P180" s="32"/>
      <c r="Q180" s="48">
        <f>G180-P180</f>
        <v>139</v>
      </c>
      <c r="R180" s="31"/>
      <c r="S180" s="31"/>
    </row>
    <row r="181" spans="1:19" x14ac:dyDescent="0.25">
      <c r="A181" s="26">
        <v>2510</v>
      </c>
      <c r="B181" s="68" t="s">
        <v>234</v>
      </c>
      <c r="C181" s="136" t="s">
        <v>407</v>
      </c>
      <c r="D181" s="35" t="s">
        <v>408</v>
      </c>
      <c r="E181" s="26"/>
      <c r="F181" s="72">
        <v>203</v>
      </c>
      <c r="G181" s="26"/>
      <c r="H181" s="26">
        <v>2</v>
      </c>
      <c r="I181" s="68"/>
      <c r="J181" s="68" t="s">
        <v>236</v>
      </c>
      <c r="K181" s="68"/>
      <c r="L181" s="68"/>
      <c r="M181" s="68"/>
      <c r="N181" s="30" t="s">
        <v>193</v>
      </c>
      <c r="O181" s="68"/>
      <c r="P181" s="32"/>
      <c r="Q181" s="32"/>
      <c r="R181" s="31"/>
      <c r="S181" s="31"/>
    </row>
    <row r="182" spans="1:19" x14ac:dyDescent="0.25">
      <c r="A182" s="26">
        <v>2602</v>
      </c>
      <c r="B182" s="68" t="s">
        <v>218</v>
      </c>
      <c r="C182" s="136"/>
      <c r="D182" s="35" t="s">
        <v>409</v>
      </c>
      <c r="E182" s="26"/>
      <c r="F182" s="72">
        <v>46</v>
      </c>
      <c r="G182" s="26"/>
      <c r="H182" s="26">
        <v>5</v>
      </c>
      <c r="I182" s="68"/>
      <c r="J182" s="68" t="s">
        <v>221</v>
      </c>
      <c r="K182" s="68"/>
      <c r="L182" s="68"/>
      <c r="M182" s="68"/>
      <c r="N182" s="30" t="s">
        <v>193</v>
      </c>
      <c r="O182" s="68"/>
      <c r="P182" s="32"/>
      <c r="Q182" s="32"/>
      <c r="R182" s="31"/>
      <c r="S182" s="31"/>
    </row>
    <row r="183" spans="1:19" x14ac:dyDescent="0.25">
      <c r="A183" s="26">
        <v>2608</v>
      </c>
      <c r="B183" s="68" t="s">
        <v>218</v>
      </c>
      <c r="C183" s="136" t="s">
        <v>410</v>
      </c>
      <c r="D183" s="35" t="s">
        <v>411</v>
      </c>
      <c r="E183" s="26">
        <v>39</v>
      </c>
      <c r="F183" s="26"/>
      <c r="G183" s="26"/>
      <c r="H183" s="26">
        <v>1</v>
      </c>
      <c r="I183" s="68"/>
      <c r="J183" s="68" t="s">
        <v>221</v>
      </c>
      <c r="K183" s="68"/>
      <c r="L183" s="68"/>
      <c r="M183" s="68"/>
      <c r="N183" s="30" t="s">
        <v>193</v>
      </c>
      <c r="O183" s="68"/>
      <c r="P183" s="32"/>
      <c r="Q183" s="32"/>
      <c r="R183" s="31"/>
      <c r="S183" s="31"/>
    </row>
    <row r="184" spans="1:19" x14ac:dyDescent="0.25">
      <c r="A184" s="68"/>
      <c r="B184" s="68" t="s">
        <v>412</v>
      </c>
      <c r="C184" s="136"/>
      <c r="D184" s="35" t="s">
        <v>413</v>
      </c>
      <c r="E184" s="26"/>
      <c r="F184" s="26">
        <v>177</v>
      </c>
      <c r="G184" s="26">
        <v>180</v>
      </c>
      <c r="H184" s="26">
        <v>27</v>
      </c>
      <c r="I184" s="68"/>
      <c r="J184" s="68" t="s">
        <v>414</v>
      </c>
      <c r="K184" s="68"/>
      <c r="L184" s="68"/>
      <c r="M184" s="68"/>
      <c r="N184" s="30" t="s">
        <v>193</v>
      </c>
      <c r="O184" s="68"/>
      <c r="P184" s="32">
        <v>352</v>
      </c>
      <c r="Q184" s="46">
        <f>G184-P184</f>
        <v>-172</v>
      </c>
      <c r="R184" s="31"/>
      <c r="S184" s="31"/>
    </row>
    <row r="185" spans="1:19" x14ac:dyDescent="0.25">
      <c r="A185" s="32">
        <v>2663</v>
      </c>
      <c r="B185" s="31" t="s">
        <v>152</v>
      </c>
      <c r="C185" s="154" t="s">
        <v>415</v>
      </c>
      <c r="D185" s="33" t="s">
        <v>416</v>
      </c>
      <c r="E185" s="32">
        <v>122</v>
      </c>
      <c r="F185" s="32"/>
      <c r="G185" s="69">
        <v>262</v>
      </c>
      <c r="H185" s="26">
        <v>1</v>
      </c>
      <c r="I185" s="31"/>
      <c r="J185" s="31" t="s">
        <v>162</v>
      </c>
      <c r="K185" s="31"/>
      <c r="L185" s="31"/>
      <c r="M185" s="31" t="s">
        <v>417</v>
      </c>
      <c r="N185" s="30" t="s">
        <v>405</v>
      </c>
      <c r="O185" s="31"/>
      <c r="P185" s="32"/>
      <c r="Q185" s="48">
        <f>G185-P185</f>
        <v>262</v>
      </c>
      <c r="R185" s="31"/>
      <c r="S185" s="31"/>
    </row>
    <row r="186" spans="1:19" x14ac:dyDescent="0.25">
      <c r="A186" s="31"/>
      <c r="B186" s="31" t="s">
        <v>152</v>
      </c>
      <c r="C186" s="154"/>
      <c r="D186" s="33" t="s">
        <v>418</v>
      </c>
      <c r="E186" s="32">
        <v>89</v>
      </c>
      <c r="F186" s="32"/>
      <c r="G186" s="32"/>
      <c r="H186" s="26"/>
      <c r="I186" s="31"/>
      <c r="J186" s="31" t="s">
        <v>162</v>
      </c>
      <c r="K186" s="31"/>
      <c r="L186" s="31"/>
      <c r="M186" s="31"/>
      <c r="N186" s="30" t="s">
        <v>193</v>
      </c>
      <c r="O186" s="31"/>
      <c r="P186" s="32"/>
      <c r="R186" s="31"/>
      <c r="S186" s="31"/>
    </row>
    <row r="187" spans="1:19" x14ac:dyDescent="0.25">
      <c r="A187" s="31"/>
      <c r="B187" s="31" t="s">
        <v>152</v>
      </c>
      <c r="C187" s="154"/>
      <c r="D187" s="53" t="s">
        <v>419</v>
      </c>
      <c r="E187" s="54"/>
      <c r="F187" s="54">
        <v>574</v>
      </c>
      <c r="G187" s="54">
        <v>502</v>
      </c>
      <c r="H187" s="41">
        <v>34</v>
      </c>
      <c r="I187" s="31"/>
      <c r="J187" s="31" t="s">
        <v>162</v>
      </c>
      <c r="K187" s="31"/>
      <c r="L187" s="31"/>
      <c r="M187" s="31"/>
      <c r="N187" s="35" t="s">
        <v>160</v>
      </c>
      <c r="O187" s="31"/>
      <c r="P187" s="32">
        <v>264</v>
      </c>
      <c r="Q187" s="48">
        <f>G187-P187</f>
        <v>238</v>
      </c>
      <c r="R187" s="31"/>
      <c r="S187" s="31"/>
    </row>
    <row r="188" spans="1:19" x14ac:dyDescent="0.25">
      <c r="A188" s="31"/>
      <c r="B188" s="31" t="s">
        <v>152</v>
      </c>
      <c r="C188" s="154"/>
      <c r="D188" s="33" t="s">
        <v>420</v>
      </c>
      <c r="E188" s="32"/>
      <c r="F188" s="32">
        <v>57</v>
      </c>
      <c r="G188" s="32"/>
      <c r="H188" s="26">
        <v>7</v>
      </c>
      <c r="I188" s="31"/>
      <c r="J188" s="31" t="s">
        <v>162</v>
      </c>
      <c r="K188" s="31"/>
      <c r="L188" s="31"/>
      <c r="M188" s="31"/>
      <c r="N188" s="35" t="s">
        <v>160</v>
      </c>
      <c r="O188" s="31"/>
      <c r="Q188" s="32"/>
      <c r="R188" s="31"/>
      <c r="S188" s="31"/>
    </row>
    <row r="189" spans="1:19" x14ac:dyDescent="0.25">
      <c r="A189" s="26">
        <v>2706</v>
      </c>
      <c r="B189" s="68" t="s">
        <v>152</v>
      </c>
      <c r="C189" s="136" t="s">
        <v>421</v>
      </c>
      <c r="D189" s="35" t="s">
        <v>422</v>
      </c>
      <c r="E189" s="26">
        <v>51</v>
      </c>
      <c r="F189" s="26"/>
      <c r="G189" s="26"/>
      <c r="H189" s="26">
        <v>1</v>
      </c>
      <c r="I189" s="68"/>
      <c r="J189" s="68" t="s">
        <v>162</v>
      </c>
      <c r="K189" s="68"/>
      <c r="L189" s="68"/>
      <c r="M189" s="68" t="s">
        <v>423</v>
      </c>
      <c r="N189" s="30" t="s">
        <v>405</v>
      </c>
      <c r="O189" s="68"/>
      <c r="P189" s="32"/>
      <c r="Q189" s="32"/>
      <c r="R189" s="31"/>
      <c r="S189" s="31"/>
    </row>
    <row r="190" spans="1:19" x14ac:dyDescent="0.25">
      <c r="A190" s="68"/>
      <c r="B190" s="68" t="s">
        <v>152</v>
      </c>
      <c r="C190" s="136"/>
      <c r="D190" s="35" t="s">
        <v>424</v>
      </c>
      <c r="E190" s="72"/>
      <c r="F190" s="72">
        <v>778</v>
      </c>
      <c r="G190" s="72"/>
      <c r="H190" s="72">
        <v>35</v>
      </c>
      <c r="I190" s="68"/>
      <c r="J190" s="68" t="s">
        <v>162</v>
      </c>
      <c r="K190" s="68"/>
      <c r="L190" s="68"/>
      <c r="M190" s="68"/>
      <c r="N190" s="35" t="s">
        <v>160</v>
      </c>
      <c r="O190" s="68"/>
      <c r="P190" s="32"/>
      <c r="Q190" s="32"/>
      <c r="R190" s="31"/>
      <c r="S190" s="31"/>
    </row>
    <row r="191" spans="1:19" x14ac:dyDescent="0.25">
      <c r="A191" s="68"/>
      <c r="B191" s="68" t="s">
        <v>218</v>
      </c>
      <c r="C191" s="136"/>
      <c r="D191" s="35" t="s">
        <v>425</v>
      </c>
      <c r="E191" s="26"/>
      <c r="F191" s="72">
        <v>357</v>
      </c>
      <c r="G191" s="26"/>
      <c r="H191" s="26">
        <v>17</v>
      </c>
      <c r="I191" s="68"/>
      <c r="J191" s="68" t="s">
        <v>221</v>
      </c>
      <c r="K191" s="68"/>
      <c r="L191" s="68"/>
      <c r="M191" s="68"/>
      <c r="N191" s="30" t="s">
        <v>193</v>
      </c>
      <c r="O191" s="68"/>
      <c r="P191" s="32"/>
      <c r="Q191" s="32"/>
      <c r="R191" s="31"/>
      <c r="S191" s="31"/>
    </row>
    <row r="192" spans="1:19" x14ac:dyDescent="0.25">
      <c r="A192" s="68"/>
      <c r="B192" s="68" t="s">
        <v>149</v>
      </c>
      <c r="C192" s="135" t="s">
        <v>122</v>
      </c>
      <c r="D192" s="35" t="s">
        <v>426</v>
      </c>
      <c r="E192" s="26"/>
      <c r="F192" s="72">
        <v>119</v>
      </c>
      <c r="G192" s="26"/>
      <c r="H192" s="26">
        <v>2</v>
      </c>
      <c r="I192" s="68"/>
      <c r="J192" s="68"/>
      <c r="K192" s="68"/>
      <c r="L192" s="68"/>
      <c r="M192" s="68"/>
      <c r="N192" s="30" t="s">
        <v>405</v>
      </c>
      <c r="O192" s="68"/>
      <c r="P192" s="32"/>
      <c r="Q192" s="32"/>
      <c r="R192" s="31"/>
      <c r="S192" s="31"/>
    </row>
    <row r="193" spans="1:19" x14ac:dyDescent="0.25">
      <c r="A193" s="68"/>
      <c r="B193" s="37">
        <v>2015</v>
      </c>
      <c r="C193" s="135"/>
      <c r="D193" s="36" t="s">
        <v>427</v>
      </c>
      <c r="E193" s="41">
        <v>56</v>
      </c>
      <c r="F193" s="41"/>
      <c r="G193" s="41"/>
      <c r="H193" s="41">
        <v>1</v>
      </c>
      <c r="I193" s="68"/>
      <c r="J193" s="68"/>
      <c r="K193" s="68"/>
      <c r="L193" s="68"/>
      <c r="M193" s="68"/>
      <c r="N193" s="30"/>
      <c r="O193" s="68"/>
      <c r="P193" s="32"/>
      <c r="Q193" s="32"/>
      <c r="R193" s="31"/>
      <c r="S193" s="31"/>
    </row>
    <row r="194" spans="1:19" x14ac:dyDescent="0.25">
      <c r="A194" s="68"/>
      <c r="B194" s="68" t="s">
        <v>152</v>
      </c>
      <c r="C194" s="135"/>
      <c r="D194" s="70" t="s">
        <v>428</v>
      </c>
      <c r="E194" s="57">
        <v>6</v>
      </c>
      <c r="F194" s="57"/>
      <c r="G194" s="57"/>
      <c r="H194" s="57">
        <v>1</v>
      </c>
      <c r="I194" s="68"/>
      <c r="J194" s="68" t="s">
        <v>162</v>
      </c>
      <c r="K194" s="68"/>
      <c r="L194" s="68"/>
      <c r="M194" s="68"/>
      <c r="N194" s="35" t="s">
        <v>160</v>
      </c>
      <c r="O194" s="68"/>
      <c r="P194" s="32"/>
      <c r="Q194" s="32"/>
      <c r="R194" s="31"/>
      <c r="S194" s="31"/>
    </row>
    <row r="195" spans="1:19" x14ac:dyDescent="0.25">
      <c r="A195" s="68"/>
      <c r="B195" s="68" t="s">
        <v>164</v>
      </c>
      <c r="C195" s="135"/>
      <c r="D195" s="35" t="s">
        <v>429</v>
      </c>
      <c r="E195" s="26"/>
      <c r="F195" s="26">
        <v>71</v>
      </c>
      <c r="G195" s="26">
        <v>205</v>
      </c>
      <c r="H195" s="26">
        <v>14</v>
      </c>
      <c r="I195" s="68"/>
      <c r="J195" s="68" t="s">
        <v>166</v>
      </c>
      <c r="K195" s="68" t="s">
        <v>123</v>
      </c>
      <c r="L195" s="68" t="s">
        <v>159</v>
      </c>
      <c r="M195" s="68"/>
      <c r="N195" s="35" t="s">
        <v>160</v>
      </c>
      <c r="O195" s="68"/>
      <c r="P195" s="32">
        <v>341</v>
      </c>
      <c r="Q195" s="46">
        <f>G195-P195</f>
        <v>-136</v>
      </c>
      <c r="R195" s="31"/>
      <c r="S195" s="31"/>
    </row>
    <row r="196" spans="1:19" x14ac:dyDescent="0.25">
      <c r="A196" s="32">
        <v>2777</v>
      </c>
      <c r="B196" s="31" t="s">
        <v>152</v>
      </c>
      <c r="C196" s="32" t="s">
        <v>430</v>
      </c>
      <c r="D196" s="33" t="s">
        <v>431</v>
      </c>
      <c r="E196" s="32"/>
      <c r="F196" s="72">
        <v>340</v>
      </c>
      <c r="G196" s="32"/>
      <c r="H196" s="26">
        <v>16</v>
      </c>
      <c r="I196" s="31"/>
      <c r="J196" s="31" t="s">
        <v>162</v>
      </c>
      <c r="K196" s="31" t="s">
        <v>432</v>
      </c>
      <c r="L196" s="31" t="s">
        <v>433</v>
      </c>
      <c r="M196" s="31"/>
      <c r="N196" s="30" t="s">
        <v>193</v>
      </c>
      <c r="O196" s="31"/>
      <c r="P196" s="32"/>
      <c r="Q196" s="32"/>
      <c r="R196" s="31"/>
      <c r="S196" s="31"/>
    </row>
    <row r="197" spans="1:19" x14ac:dyDescent="0.25">
      <c r="A197" s="31"/>
      <c r="B197" s="31" t="s">
        <v>218</v>
      </c>
      <c r="C197" s="155" t="s">
        <v>434</v>
      </c>
      <c r="D197" s="33" t="s">
        <v>435</v>
      </c>
      <c r="E197" s="32"/>
      <c r="F197" s="72">
        <v>36</v>
      </c>
      <c r="G197" s="32"/>
      <c r="H197" s="26">
        <v>7</v>
      </c>
      <c r="I197" s="31"/>
      <c r="J197" s="31" t="s">
        <v>221</v>
      </c>
      <c r="K197" s="31"/>
      <c r="L197" s="31"/>
      <c r="M197" s="31"/>
      <c r="N197" s="30" t="s">
        <v>193</v>
      </c>
      <c r="O197" s="31"/>
      <c r="P197" s="32"/>
      <c r="Q197" s="32"/>
      <c r="R197" s="31"/>
      <c r="S197" s="31"/>
    </row>
    <row r="198" spans="1:19" x14ac:dyDescent="0.25">
      <c r="A198" s="31"/>
      <c r="B198" s="31" t="s">
        <v>152</v>
      </c>
      <c r="C198" s="155"/>
      <c r="D198" s="11" t="s">
        <v>436</v>
      </c>
      <c r="E198" s="71"/>
      <c r="F198" s="42">
        <v>658</v>
      </c>
      <c r="G198" s="71">
        <v>600</v>
      </c>
      <c r="H198" s="42">
        <v>24</v>
      </c>
      <c r="I198" s="31"/>
      <c r="J198" s="31" t="s">
        <v>162</v>
      </c>
      <c r="K198" s="31"/>
      <c r="L198" s="31"/>
      <c r="M198" s="31"/>
      <c r="N198" s="35" t="s">
        <v>160</v>
      </c>
      <c r="O198" s="31"/>
      <c r="P198" s="32">
        <v>589</v>
      </c>
      <c r="Q198" s="48">
        <f>G198-P198</f>
        <v>11</v>
      </c>
      <c r="R198" s="31"/>
      <c r="S198" s="31"/>
    </row>
    <row r="199" spans="1:19" x14ac:dyDescent="0.25">
      <c r="A199" s="31"/>
      <c r="B199" s="31" t="s">
        <v>152</v>
      </c>
      <c r="C199" s="155"/>
      <c r="D199" s="33" t="s">
        <v>437</v>
      </c>
      <c r="E199" s="32"/>
      <c r="F199" s="72">
        <v>40</v>
      </c>
      <c r="G199" s="32"/>
      <c r="H199" s="26">
        <v>11</v>
      </c>
      <c r="I199" s="31"/>
      <c r="J199" s="31" t="s">
        <v>162</v>
      </c>
      <c r="K199" s="31"/>
      <c r="L199" s="31"/>
      <c r="M199" s="31"/>
      <c r="N199" s="35" t="s">
        <v>160</v>
      </c>
      <c r="O199" s="31"/>
      <c r="P199" s="32"/>
      <c r="Q199" s="32"/>
      <c r="R199" s="31"/>
      <c r="S199" s="31"/>
    </row>
    <row r="200" spans="1:19" x14ac:dyDescent="0.25">
      <c r="A200" s="32">
        <v>2867</v>
      </c>
      <c r="B200" s="31" t="s">
        <v>149</v>
      </c>
      <c r="C200" s="135" t="s">
        <v>438</v>
      </c>
      <c r="D200" s="33" t="s">
        <v>439</v>
      </c>
      <c r="E200" s="32">
        <v>8</v>
      </c>
      <c r="F200" s="32"/>
      <c r="G200" s="32"/>
      <c r="H200" s="26">
        <v>1</v>
      </c>
      <c r="I200" s="31"/>
      <c r="J200" s="31"/>
      <c r="K200" s="31"/>
      <c r="L200" s="31"/>
      <c r="M200" s="31"/>
      <c r="N200" s="31"/>
      <c r="O200" s="31"/>
      <c r="P200" s="32"/>
      <c r="Q200" s="32"/>
      <c r="R200" s="31"/>
      <c r="S200" s="31"/>
    </row>
    <row r="201" spans="1:19" x14ac:dyDescent="0.25">
      <c r="A201" s="32">
        <v>2868</v>
      </c>
      <c r="B201" s="31" t="s">
        <v>218</v>
      </c>
      <c r="C201" s="135"/>
      <c r="D201" s="77" t="s">
        <v>440</v>
      </c>
      <c r="E201" s="78"/>
      <c r="F201" s="76">
        <v>408</v>
      </c>
      <c r="G201" s="78">
        <v>149</v>
      </c>
      <c r="H201" s="76">
        <v>24</v>
      </c>
      <c r="I201" s="31"/>
      <c r="J201" s="31" t="s">
        <v>221</v>
      </c>
      <c r="K201" s="31"/>
      <c r="L201" s="31" t="s">
        <v>298</v>
      </c>
      <c r="M201" s="31"/>
      <c r="N201" s="30" t="s">
        <v>193</v>
      </c>
      <c r="O201" s="31"/>
      <c r="P201" s="32"/>
      <c r="Q201" s="48">
        <f>G201-P201</f>
        <v>149</v>
      </c>
      <c r="R201" s="31"/>
      <c r="S201" s="31"/>
    </row>
    <row r="202" spans="1:19" x14ac:dyDescent="0.25">
      <c r="A202" s="31"/>
      <c r="B202" s="31" t="s">
        <v>234</v>
      </c>
      <c r="C202" s="135"/>
      <c r="D202" s="33" t="s">
        <v>441</v>
      </c>
      <c r="E202" s="32"/>
      <c r="F202" s="72">
        <v>37</v>
      </c>
      <c r="G202" s="32"/>
      <c r="H202" s="26">
        <v>3</v>
      </c>
      <c r="I202" s="31"/>
      <c r="J202" s="31" t="s">
        <v>236</v>
      </c>
      <c r="K202" s="31"/>
      <c r="L202" s="31" t="s">
        <v>298</v>
      </c>
      <c r="M202" s="31"/>
      <c r="N202" s="30" t="s">
        <v>193</v>
      </c>
      <c r="O202" s="31"/>
      <c r="P202" s="32"/>
      <c r="Q202" s="32"/>
      <c r="R202" s="31"/>
      <c r="S202" s="31"/>
    </row>
    <row r="203" spans="1:19" x14ac:dyDescent="0.25">
      <c r="A203" s="31"/>
      <c r="B203" s="31" t="s">
        <v>152</v>
      </c>
      <c r="C203" s="135"/>
      <c r="D203" s="60" t="s">
        <v>442</v>
      </c>
      <c r="E203" s="61"/>
      <c r="F203" s="62">
        <v>274</v>
      </c>
      <c r="G203" s="61"/>
      <c r="H203" s="62">
        <v>23</v>
      </c>
      <c r="I203" s="31"/>
      <c r="J203" s="31" t="s">
        <v>162</v>
      </c>
      <c r="K203" s="31"/>
      <c r="L203" s="31" t="s">
        <v>298</v>
      </c>
      <c r="M203" s="31"/>
      <c r="N203" s="30" t="s">
        <v>193</v>
      </c>
      <c r="O203" s="31"/>
      <c r="P203" s="32"/>
      <c r="Q203" s="32"/>
      <c r="R203" s="31"/>
      <c r="S203" s="31"/>
    </row>
    <row r="204" spans="1:19" x14ac:dyDescent="0.25">
      <c r="A204" s="31"/>
      <c r="B204" s="31" t="s">
        <v>152</v>
      </c>
      <c r="C204" s="135"/>
      <c r="D204" s="33" t="s">
        <v>443</v>
      </c>
      <c r="E204" s="39"/>
      <c r="F204" s="72">
        <v>520</v>
      </c>
      <c r="G204" s="39">
        <v>715</v>
      </c>
      <c r="H204" s="72">
        <v>32</v>
      </c>
      <c r="I204" s="31"/>
      <c r="J204" s="31" t="s">
        <v>162</v>
      </c>
      <c r="K204" s="31"/>
      <c r="L204" s="31" t="s">
        <v>298</v>
      </c>
      <c r="M204" s="31"/>
      <c r="N204" s="35" t="s">
        <v>160</v>
      </c>
      <c r="O204" s="31"/>
      <c r="P204" s="32">
        <v>540</v>
      </c>
      <c r="Q204" s="48">
        <f>G204-P204</f>
        <v>175</v>
      </c>
      <c r="R204" s="31"/>
      <c r="S204" s="31"/>
    </row>
    <row r="205" spans="1:19" x14ac:dyDescent="0.25">
      <c r="A205" s="31"/>
      <c r="B205" s="31" t="s">
        <v>218</v>
      </c>
      <c r="C205" s="32" t="s">
        <v>444</v>
      </c>
      <c r="D205" s="33" t="s">
        <v>445</v>
      </c>
      <c r="E205" s="32"/>
      <c r="F205" s="32">
        <v>55</v>
      </c>
      <c r="G205" s="32"/>
      <c r="H205" s="26">
        <v>3</v>
      </c>
      <c r="I205" s="31"/>
      <c r="J205" s="31" t="s">
        <v>221</v>
      </c>
      <c r="K205" s="31"/>
      <c r="L205" s="31" t="s">
        <v>298</v>
      </c>
      <c r="M205" s="31"/>
      <c r="N205" s="30" t="s">
        <v>193</v>
      </c>
      <c r="O205" s="31"/>
      <c r="P205" s="32"/>
      <c r="Q205" s="32"/>
      <c r="R205" s="31"/>
      <c r="S205" s="31"/>
    </row>
    <row r="206" spans="1:19" x14ac:dyDescent="0.25">
      <c r="A206" s="32">
        <v>2856</v>
      </c>
      <c r="B206" s="31" t="s">
        <v>152</v>
      </c>
      <c r="C206" s="32" t="s">
        <v>446</v>
      </c>
      <c r="D206" s="33" t="s">
        <v>447</v>
      </c>
      <c r="E206" s="39"/>
      <c r="F206" s="72">
        <v>273</v>
      </c>
      <c r="G206" s="39"/>
      <c r="H206" s="72">
        <v>11</v>
      </c>
      <c r="I206" s="31"/>
      <c r="J206" s="31" t="s">
        <v>162</v>
      </c>
      <c r="K206" s="31" t="s">
        <v>448</v>
      </c>
      <c r="L206" s="31" t="s">
        <v>298</v>
      </c>
      <c r="M206" s="31"/>
      <c r="N206" s="35" t="s">
        <v>160</v>
      </c>
      <c r="O206" s="31"/>
      <c r="P206" s="32"/>
      <c r="Q206" s="32"/>
      <c r="R206" s="31"/>
      <c r="S206" s="31"/>
    </row>
    <row r="207" spans="1:19" x14ac:dyDescent="0.25">
      <c r="A207" s="32">
        <v>2930</v>
      </c>
      <c r="B207" s="31" t="s">
        <v>149</v>
      </c>
      <c r="C207" s="136" t="s">
        <v>449</v>
      </c>
      <c r="D207" s="33" t="s">
        <v>450</v>
      </c>
      <c r="E207" s="32">
        <v>35</v>
      </c>
      <c r="F207" s="32"/>
      <c r="G207" s="32"/>
      <c r="H207" s="26">
        <v>1</v>
      </c>
      <c r="I207" s="31"/>
      <c r="J207" s="31"/>
      <c r="K207" s="31"/>
      <c r="L207" s="31"/>
      <c r="M207" s="31"/>
      <c r="N207" s="31"/>
      <c r="O207" s="31"/>
      <c r="P207" s="32"/>
      <c r="Q207" s="32"/>
      <c r="R207" s="31"/>
      <c r="S207" s="31"/>
    </row>
    <row r="208" spans="1:19" x14ac:dyDescent="0.25">
      <c r="A208" s="31"/>
      <c r="B208" s="31" t="s">
        <v>218</v>
      </c>
      <c r="C208" s="136"/>
      <c r="D208" s="33" t="s">
        <v>451</v>
      </c>
      <c r="E208" s="32"/>
      <c r="F208" s="72">
        <v>228</v>
      </c>
      <c r="G208" s="32"/>
      <c r="H208" s="26">
        <v>11</v>
      </c>
      <c r="I208" s="31"/>
      <c r="J208" s="31" t="s">
        <v>221</v>
      </c>
      <c r="K208" s="31"/>
      <c r="L208" s="31" t="s">
        <v>298</v>
      </c>
      <c r="M208" s="31"/>
      <c r="N208" s="30" t="s">
        <v>193</v>
      </c>
      <c r="O208" s="31"/>
      <c r="P208" s="32"/>
      <c r="Q208" s="32"/>
      <c r="R208" s="31"/>
      <c r="S208" s="31"/>
    </row>
    <row r="209" spans="1:19" x14ac:dyDescent="0.25">
      <c r="A209" s="32">
        <v>3117</v>
      </c>
      <c r="B209" s="31" t="s">
        <v>149</v>
      </c>
      <c r="C209" s="152" t="s">
        <v>452</v>
      </c>
      <c r="D209" s="33" t="s">
        <v>453</v>
      </c>
      <c r="E209" s="32">
        <v>59</v>
      </c>
      <c r="F209" s="32"/>
      <c r="G209" s="32"/>
      <c r="H209" s="26">
        <v>1</v>
      </c>
      <c r="I209" s="31"/>
      <c r="J209" s="31"/>
      <c r="K209" s="31"/>
      <c r="L209" s="31"/>
      <c r="M209" s="31"/>
      <c r="N209" s="31"/>
      <c r="O209" s="31"/>
      <c r="P209" s="32"/>
      <c r="Q209" s="32"/>
      <c r="R209" s="31"/>
      <c r="S209" s="31"/>
    </row>
    <row r="210" spans="1:19" x14ac:dyDescent="0.25">
      <c r="A210" s="32">
        <v>3119</v>
      </c>
      <c r="B210" s="31" t="s">
        <v>218</v>
      </c>
      <c r="C210" s="157"/>
      <c r="D210" s="33" t="s">
        <v>454</v>
      </c>
      <c r="E210" s="32"/>
      <c r="F210" s="32">
        <v>259</v>
      </c>
      <c r="G210" s="139">
        <v>652</v>
      </c>
      <c r="H210" s="26">
        <v>13</v>
      </c>
      <c r="I210" s="31"/>
      <c r="J210" s="31" t="s">
        <v>221</v>
      </c>
      <c r="K210" s="31"/>
      <c r="L210" s="31"/>
      <c r="M210" s="31"/>
      <c r="N210" s="30" t="s">
        <v>193</v>
      </c>
      <c r="O210" s="31"/>
      <c r="P210" s="139">
        <v>540</v>
      </c>
      <c r="Q210" s="139">
        <f>G210-P210</f>
        <v>112</v>
      </c>
      <c r="R210" s="31"/>
      <c r="S210" s="31"/>
    </row>
    <row r="211" spans="1:19" x14ac:dyDescent="0.25">
      <c r="A211" s="32"/>
      <c r="B211" s="31" t="s">
        <v>218</v>
      </c>
      <c r="C211" s="157"/>
      <c r="D211" s="33" t="s">
        <v>455</v>
      </c>
      <c r="E211" s="32"/>
      <c r="F211" s="32">
        <v>264</v>
      </c>
      <c r="G211" s="140"/>
      <c r="H211" s="26">
        <v>8</v>
      </c>
      <c r="I211" s="31"/>
      <c r="J211" s="31" t="s">
        <v>221</v>
      </c>
      <c r="K211" s="31"/>
      <c r="L211" s="31"/>
      <c r="M211" s="31"/>
      <c r="N211" s="30" t="s">
        <v>193</v>
      </c>
      <c r="O211" s="31"/>
      <c r="P211" s="140"/>
      <c r="Q211" s="140"/>
      <c r="R211" s="31"/>
      <c r="S211" s="31"/>
    </row>
    <row r="212" spans="1:19" x14ac:dyDescent="0.25">
      <c r="A212" s="31"/>
      <c r="B212" s="31" t="s">
        <v>218</v>
      </c>
      <c r="C212" s="157"/>
      <c r="D212" s="33" t="s">
        <v>456</v>
      </c>
      <c r="E212" s="32"/>
      <c r="F212" s="32">
        <v>296</v>
      </c>
      <c r="G212" s="141"/>
      <c r="H212" s="26">
        <v>11</v>
      </c>
      <c r="I212" s="31"/>
      <c r="J212" s="31" t="s">
        <v>221</v>
      </c>
      <c r="K212" s="31"/>
      <c r="L212" s="31"/>
      <c r="M212" s="31"/>
      <c r="N212" s="30" t="s">
        <v>193</v>
      </c>
      <c r="O212" s="31"/>
      <c r="P212" s="141"/>
      <c r="Q212" s="141"/>
      <c r="R212" s="31"/>
      <c r="S212" s="31"/>
    </row>
    <row r="213" spans="1:19" x14ac:dyDescent="0.25">
      <c r="A213" s="32">
        <v>3116</v>
      </c>
      <c r="B213" s="31" t="s">
        <v>152</v>
      </c>
      <c r="C213" s="157"/>
      <c r="D213" s="33" t="s">
        <v>457</v>
      </c>
      <c r="E213" s="32">
        <v>22</v>
      </c>
      <c r="F213" s="32"/>
      <c r="G213" s="32"/>
      <c r="H213" s="26">
        <v>1</v>
      </c>
      <c r="I213" s="31"/>
      <c r="J213" s="31" t="s">
        <v>162</v>
      </c>
      <c r="K213" s="31"/>
      <c r="L213" s="31"/>
      <c r="M213" s="31" t="s">
        <v>458</v>
      </c>
      <c r="N213" s="31"/>
      <c r="O213" s="31"/>
      <c r="P213" s="32"/>
      <c r="Q213" s="32"/>
      <c r="R213" s="31"/>
      <c r="S213" s="31"/>
    </row>
    <row r="214" spans="1:19" x14ac:dyDescent="0.25">
      <c r="A214" s="32">
        <v>3131</v>
      </c>
      <c r="B214" s="31" t="s">
        <v>152</v>
      </c>
      <c r="C214" s="157"/>
      <c r="D214" s="33" t="s">
        <v>459</v>
      </c>
      <c r="E214" s="32"/>
      <c r="F214" s="32">
        <v>518</v>
      </c>
      <c r="G214" s="32"/>
      <c r="H214" s="26">
        <v>34</v>
      </c>
      <c r="I214" s="31"/>
      <c r="J214" s="31" t="s">
        <v>162</v>
      </c>
      <c r="K214" s="31"/>
      <c r="L214" s="31"/>
      <c r="M214" s="31"/>
      <c r="N214" s="35" t="s">
        <v>160</v>
      </c>
      <c r="O214" s="31"/>
      <c r="P214" s="32"/>
      <c r="Q214" s="32"/>
      <c r="R214" s="31"/>
      <c r="S214" s="31"/>
    </row>
    <row r="215" spans="1:19" x14ac:dyDescent="0.25">
      <c r="A215" s="32">
        <v>3114</v>
      </c>
      <c r="B215" s="31" t="s">
        <v>239</v>
      </c>
      <c r="C215" s="157"/>
      <c r="D215" s="33" t="s">
        <v>460</v>
      </c>
      <c r="E215" s="32">
        <v>223</v>
      </c>
      <c r="F215" s="32"/>
      <c r="G215" s="32"/>
      <c r="H215" s="26">
        <v>1</v>
      </c>
      <c r="I215" s="31"/>
      <c r="J215" s="31" t="s">
        <v>242</v>
      </c>
      <c r="K215" s="31"/>
      <c r="L215" s="31"/>
      <c r="M215" s="31"/>
      <c r="N215" s="30" t="s">
        <v>193</v>
      </c>
      <c r="O215" s="31"/>
      <c r="P215" s="32"/>
      <c r="Q215" s="32"/>
      <c r="R215" s="31"/>
      <c r="S215" s="31"/>
    </row>
    <row r="216" spans="1:19" x14ac:dyDescent="0.25">
      <c r="A216" s="32">
        <v>3115</v>
      </c>
      <c r="B216" s="31" t="s">
        <v>239</v>
      </c>
      <c r="C216" s="157"/>
      <c r="D216" s="33" t="s">
        <v>461</v>
      </c>
      <c r="E216" s="32">
        <v>18</v>
      </c>
      <c r="F216" s="32"/>
      <c r="G216" s="32"/>
      <c r="H216" s="26">
        <v>1</v>
      </c>
      <c r="I216" s="31"/>
      <c r="J216" s="31" t="s">
        <v>242</v>
      </c>
      <c r="K216" s="31"/>
      <c r="L216" s="31"/>
      <c r="M216" s="31"/>
      <c r="N216" s="31"/>
      <c r="O216" s="31"/>
      <c r="P216" s="32"/>
      <c r="Q216" s="32"/>
      <c r="R216" s="31"/>
      <c r="S216" s="31"/>
    </row>
    <row r="217" spans="1:19" x14ac:dyDescent="0.25">
      <c r="A217" s="32">
        <v>3165</v>
      </c>
      <c r="B217" s="31" t="s">
        <v>239</v>
      </c>
      <c r="C217" s="157"/>
      <c r="D217" s="33" t="s">
        <v>462</v>
      </c>
      <c r="E217" s="32">
        <v>137</v>
      </c>
      <c r="F217" s="32"/>
      <c r="G217" s="32"/>
      <c r="H217" s="26">
        <v>1</v>
      </c>
      <c r="I217" s="31"/>
      <c r="J217" s="31" t="s">
        <v>242</v>
      </c>
      <c r="K217" s="31"/>
      <c r="L217" s="31"/>
      <c r="M217" s="31"/>
      <c r="N217" s="35" t="s">
        <v>160</v>
      </c>
      <c r="O217" s="31"/>
      <c r="P217" s="32"/>
      <c r="Q217" s="32"/>
      <c r="R217" s="31"/>
      <c r="S217" s="31"/>
    </row>
    <row r="218" spans="1:19" x14ac:dyDescent="0.25">
      <c r="A218" s="32">
        <v>3166</v>
      </c>
      <c r="B218" s="31" t="s">
        <v>239</v>
      </c>
      <c r="C218" s="157"/>
      <c r="D218" s="33" t="s">
        <v>463</v>
      </c>
      <c r="E218" s="32">
        <v>100</v>
      </c>
      <c r="F218" s="32"/>
      <c r="G218" s="32"/>
      <c r="H218" s="26">
        <v>1</v>
      </c>
      <c r="I218" s="31"/>
      <c r="J218" s="31"/>
      <c r="K218" s="31"/>
      <c r="L218" s="31"/>
      <c r="M218" s="31"/>
      <c r="N218" s="35" t="s">
        <v>160</v>
      </c>
      <c r="O218" s="31"/>
      <c r="P218" s="32"/>
      <c r="Q218" s="32"/>
      <c r="R218" s="31"/>
      <c r="S218" s="31"/>
    </row>
    <row r="219" spans="1:19" x14ac:dyDescent="0.25">
      <c r="A219" s="32">
        <v>3167</v>
      </c>
      <c r="B219" s="31" t="s">
        <v>239</v>
      </c>
      <c r="C219" s="157"/>
      <c r="D219" s="11" t="s">
        <v>464</v>
      </c>
      <c r="E219" s="71"/>
      <c r="F219" s="71">
        <v>3462</v>
      </c>
      <c r="G219" s="71"/>
      <c r="H219" s="42">
        <v>181</v>
      </c>
      <c r="I219" s="31"/>
      <c r="J219" s="31" t="s">
        <v>242</v>
      </c>
      <c r="K219" s="31"/>
      <c r="L219" s="31"/>
      <c r="M219" s="31"/>
      <c r="N219" s="35" t="s">
        <v>160</v>
      </c>
      <c r="O219" s="31"/>
      <c r="P219" s="32"/>
      <c r="Q219" s="32"/>
      <c r="R219" s="31"/>
      <c r="S219" s="31"/>
    </row>
    <row r="220" spans="1:19" x14ac:dyDescent="0.25">
      <c r="A220" s="31"/>
      <c r="B220" s="31" t="s">
        <v>239</v>
      </c>
      <c r="C220" s="157"/>
      <c r="D220" s="33" t="s">
        <v>465</v>
      </c>
      <c r="E220" s="32">
        <v>4</v>
      </c>
      <c r="F220" s="32"/>
      <c r="G220" s="32"/>
      <c r="H220" s="26">
        <v>1</v>
      </c>
      <c r="I220" s="31"/>
      <c r="J220" s="31" t="s">
        <v>242</v>
      </c>
      <c r="K220" s="31"/>
      <c r="L220" s="31"/>
      <c r="M220" s="31"/>
      <c r="N220" s="30" t="s">
        <v>193</v>
      </c>
      <c r="O220" s="31"/>
      <c r="P220" s="32"/>
      <c r="Q220" s="32"/>
      <c r="R220" s="31"/>
      <c r="S220" s="31"/>
    </row>
    <row r="221" spans="1:19" x14ac:dyDescent="0.25">
      <c r="A221" s="32"/>
      <c r="B221" s="31" t="s">
        <v>239</v>
      </c>
      <c r="C221" s="157"/>
      <c r="D221" s="33" t="s">
        <v>466</v>
      </c>
      <c r="E221" s="32"/>
      <c r="F221" s="32">
        <v>1205</v>
      </c>
      <c r="G221" s="32">
        <v>1059</v>
      </c>
      <c r="H221" s="26">
        <v>25</v>
      </c>
      <c r="I221" s="31"/>
      <c r="J221" s="31" t="s">
        <v>242</v>
      </c>
      <c r="K221" s="31"/>
      <c r="L221" s="31"/>
      <c r="M221" s="31"/>
      <c r="N221" s="30" t="s">
        <v>193</v>
      </c>
      <c r="O221" s="31"/>
      <c r="P221" s="32">
        <f>160+1800</f>
        <v>1960</v>
      </c>
      <c r="Q221" s="46">
        <f>G221-P221</f>
        <v>-901</v>
      </c>
      <c r="R221" s="31"/>
      <c r="S221" s="31"/>
    </row>
    <row r="222" spans="1:19" x14ac:dyDescent="0.25">
      <c r="A222" s="32">
        <v>2943</v>
      </c>
      <c r="B222" s="31" t="s">
        <v>164</v>
      </c>
      <c r="C222" s="153"/>
      <c r="D222" s="53" t="s">
        <v>467</v>
      </c>
      <c r="E222" s="54"/>
      <c r="F222" s="54">
        <v>3402</v>
      </c>
      <c r="G222" s="54"/>
      <c r="H222" s="41">
        <v>171</v>
      </c>
      <c r="I222" s="31"/>
      <c r="J222" s="31" t="s">
        <v>166</v>
      </c>
      <c r="K222" s="31"/>
      <c r="L222" s="31" t="s">
        <v>468</v>
      </c>
      <c r="M222" s="31"/>
      <c r="N222" s="35" t="s">
        <v>160</v>
      </c>
      <c r="O222" s="31"/>
      <c r="P222" s="32"/>
      <c r="Q222" s="32"/>
      <c r="R222" s="31"/>
      <c r="S222" s="31"/>
    </row>
    <row r="223" spans="1:19" x14ac:dyDescent="0.25">
      <c r="A223" s="31"/>
      <c r="B223" s="31" t="s">
        <v>152</v>
      </c>
      <c r="C223" s="32" t="s">
        <v>469</v>
      </c>
      <c r="D223" s="33" t="s">
        <v>470</v>
      </c>
      <c r="E223" s="32">
        <v>5</v>
      </c>
      <c r="F223" s="32"/>
      <c r="G223" s="32"/>
      <c r="H223" s="26">
        <v>1</v>
      </c>
      <c r="I223" s="31"/>
      <c r="J223" s="31" t="s">
        <v>162</v>
      </c>
      <c r="K223" s="31"/>
      <c r="L223" s="31"/>
      <c r="M223" s="31"/>
      <c r="N223" s="31"/>
      <c r="O223" s="31"/>
      <c r="P223" s="32"/>
      <c r="Q223" s="32"/>
      <c r="R223" s="31"/>
      <c r="S223" s="31"/>
    </row>
    <row r="224" spans="1:19" x14ac:dyDescent="0.25">
      <c r="A224" s="32"/>
      <c r="B224" s="37">
        <v>2015</v>
      </c>
      <c r="C224" s="41" t="s">
        <v>471</v>
      </c>
      <c r="D224" s="53" t="s">
        <v>471</v>
      </c>
      <c r="E224" s="54"/>
      <c r="F224" s="54">
        <v>113</v>
      </c>
      <c r="G224" s="54"/>
      <c r="H224" s="41">
        <v>3</v>
      </c>
      <c r="I224" s="31"/>
      <c r="J224" s="31"/>
      <c r="K224" s="31" t="s">
        <v>126</v>
      </c>
      <c r="L224" s="52" t="s">
        <v>217</v>
      </c>
      <c r="M224" s="31"/>
      <c r="N224" s="35" t="s">
        <v>160</v>
      </c>
      <c r="O224" s="31"/>
      <c r="P224" s="32"/>
      <c r="Q224" s="32"/>
      <c r="R224" s="31"/>
      <c r="S224" s="31"/>
    </row>
    <row r="225" spans="1:19" x14ac:dyDescent="0.25">
      <c r="A225" s="31"/>
      <c r="B225" s="31" t="s">
        <v>149</v>
      </c>
      <c r="C225" s="136" t="s">
        <v>472</v>
      </c>
      <c r="D225" s="33" t="s">
        <v>473</v>
      </c>
      <c r="E225" s="32">
        <v>29</v>
      </c>
      <c r="F225" s="32"/>
      <c r="G225" s="32"/>
      <c r="H225" s="26"/>
      <c r="I225" s="31"/>
      <c r="J225" s="31"/>
      <c r="K225" s="31"/>
      <c r="L225" s="31"/>
      <c r="M225" s="31"/>
      <c r="N225" s="31"/>
      <c r="O225" s="31"/>
      <c r="P225" s="32"/>
      <c r="Q225" s="32"/>
      <c r="R225" s="31"/>
      <c r="S225" s="31"/>
    </row>
    <row r="226" spans="1:19" x14ac:dyDescent="0.25">
      <c r="A226" s="32"/>
      <c r="B226" s="31" t="s">
        <v>234</v>
      </c>
      <c r="C226" s="136"/>
      <c r="D226" s="33" t="s">
        <v>474</v>
      </c>
      <c r="E226" s="32"/>
      <c r="F226" s="32">
        <v>111</v>
      </c>
      <c r="G226" s="32"/>
      <c r="H226" s="26">
        <v>6</v>
      </c>
      <c r="I226" s="31"/>
      <c r="J226" s="31" t="s">
        <v>236</v>
      </c>
      <c r="K226" s="31"/>
      <c r="L226" s="31" t="s">
        <v>475</v>
      </c>
      <c r="M226" s="31" t="s">
        <v>298</v>
      </c>
      <c r="N226" s="30" t="s">
        <v>193</v>
      </c>
      <c r="O226" s="31"/>
      <c r="P226" s="32"/>
      <c r="Q226" s="32"/>
      <c r="R226" s="31"/>
      <c r="S226" s="31"/>
    </row>
    <row r="227" spans="1:19" x14ac:dyDescent="0.25">
      <c r="A227" s="31"/>
      <c r="B227" s="31" t="s">
        <v>218</v>
      </c>
      <c r="C227" s="136"/>
      <c r="D227" s="33" t="s">
        <v>476</v>
      </c>
      <c r="E227" s="32"/>
      <c r="F227" s="32">
        <v>835</v>
      </c>
      <c r="G227" s="32">
        <v>581</v>
      </c>
      <c r="H227" s="26">
        <v>31</v>
      </c>
      <c r="I227" s="31"/>
      <c r="J227" s="31" t="s">
        <v>221</v>
      </c>
      <c r="K227" s="31" t="s">
        <v>475</v>
      </c>
      <c r="L227" s="31" t="s">
        <v>298</v>
      </c>
      <c r="M227" s="31" t="s">
        <v>227</v>
      </c>
      <c r="N227" s="30" t="s">
        <v>193</v>
      </c>
      <c r="O227" s="31"/>
      <c r="P227" s="32">
        <f>150+450</f>
        <v>600</v>
      </c>
      <c r="Q227" s="46">
        <f>G227-P227</f>
        <v>-19</v>
      </c>
      <c r="R227" s="31"/>
      <c r="S227" s="31"/>
    </row>
    <row r="228" spans="1:19" x14ac:dyDescent="0.25">
      <c r="A228" s="31"/>
      <c r="B228" s="31" t="s">
        <v>152</v>
      </c>
      <c r="C228" s="136"/>
      <c r="D228" s="33" t="s">
        <v>477</v>
      </c>
      <c r="E228" s="39"/>
      <c r="F228" s="39">
        <v>569</v>
      </c>
      <c r="G228" s="39">
        <v>108</v>
      </c>
      <c r="H228" s="72">
        <v>15</v>
      </c>
      <c r="I228" s="31"/>
      <c r="J228" s="31" t="s">
        <v>162</v>
      </c>
      <c r="K228" s="31"/>
      <c r="L228" s="31" t="s">
        <v>475</v>
      </c>
      <c r="M228" s="31" t="s">
        <v>298</v>
      </c>
      <c r="N228" s="35" t="s">
        <v>160</v>
      </c>
      <c r="O228" s="31"/>
      <c r="P228" s="32">
        <f>10+90</f>
        <v>100</v>
      </c>
      <c r="Q228" s="48">
        <f>G228-P228</f>
        <v>8</v>
      </c>
      <c r="R228" s="31"/>
      <c r="S228" s="31"/>
    </row>
    <row r="229" spans="1:19" x14ac:dyDescent="0.25">
      <c r="A229" s="31"/>
      <c r="B229" s="31" t="s">
        <v>149</v>
      </c>
      <c r="C229" s="135" t="s">
        <v>82</v>
      </c>
      <c r="D229" s="33" t="s">
        <v>478</v>
      </c>
      <c r="E229" s="32">
        <v>67</v>
      </c>
      <c r="F229" s="32"/>
      <c r="G229" s="32"/>
      <c r="H229" s="26">
        <v>1</v>
      </c>
      <c r="I229" s="31"/>
      <c r="J229" s="31"/>
      <c r="K229" s="31"/>
      <c r="L229" s="31"/>
      <c r="M229" s="31"/>
      <c r="N229" s="31"/>
      <c r="O229" s="31"/>
      <c r="P229" s="32"/>
      <c r="Q229" s="32"/>
      <c r="R229" s="31"/>
      <c r="S229" s="31"/>
    </row>
    <row r="230" spans="1:19" x14ac:dyDescent="0.25">
      <c r="A230" s="31"/>
      <c r="B230" s="31" t="s">
        <v>149</v>
      </c>
      <c r="C230" s="135"/>
      <c r="D230" s="33" t="s">
        <v>479</v>
      </c>
      <c r="E230" s="32">
        <v>57</v>
      </c>
      <c r="F230" s="32"/>
      <c r="G230" s="32"/>
      <c r="H230" s="26">
        <v>1</v>
      </c>
      <c r="I230" s="31"/>
      <c r="J230" s="31"/>
      <c r="K230" s="31"/>
      <c r="L230" s="31"/>
      <c r="M230" s="31"/>
      <c r="N230" s="30" t="s">
        <v>160</v>
      </c>
      <c r="O230" s="31"/>
      <c r="P230" s="32"/>
      <c r="Q230" s="32"/>
      <c r="R230" s="31"/>
      <c r="S230" s="31"/>
    </row>
    <row r="231" spans="1:19" x14ac:dyDescent="0.25">
      <c r="A231" s="31"/>
      <c r="B231" s="31" t="s">
        <v>164</v>
      </c>
      <c r="C231" s="135"/>
      <c r="D231" s="53" t="s">
        <v>83</v>
      </c>
      <c r="E231" s="54"/>
      <c r="F231" s="54">
        <v>2001</v>
      </c>
      <c r="G231" s="54">
        <v>1210</v>
      </c>
      <c r="H231" s="41">
        <v>91</v>
      </c>
      <c r="I231" s="31"/>
      <c r="J231" s="31" t="s">
        <v>166</v>
      </c>
      <c r="K231" s="31"/>
      <c r="L231" s="31" t="s">
        <v>82</v>
      </c>
      <c r="M231" s="31"/>
      <c r="N231" s="30" t="s">
        <v>160</v>
      </c>
      <c r="O231" s="31"/>
      <c r="P231" s="32">
        <v>540</v>
      </c>
      <c r="Q231" s="48">
        <f>G231-P231</f>
        <v>670</v>
      </c>
      <c r="R231" s="31"/>
      <c r="S231" s="31"/>
    </row>
    <row r="232" spans="1:19" x14ac:dyDescent="0.25">
      <c r="A232" s="31"/>
      <c r="B232" s="31" t="s">
        <v>164</v>
      </c>
      <c r="C232" s="135"/>
      <c r="D232" s="33" t="s">
        <v>480</v>
      </c>
      <c r="E232" s="32">
        <v>57</v>
      </c>
      <c r="F232" s="32"/>
      <c r="G232" s="32"/>
      <c r="H232" s="26">
        <v>1</v>
      </c>
      <c r="I232" s="31"/>
      <c r="J232" s="31" t="s">
        <v>166</v>
      </c>
      <c r="K232" s="31"/>
      <c r="L232" s="31" t="s">
        <v>82</v>
      </c>
      <c r="M232" s="31"/>
      <c r="N232" s="30" t="s">
        <v>160</v>
      </c>
      <c r="O232" s="31"/>
      <c r="P232" s="32"/>
      <c r="Q232" s="32"/>
      <c r="R232" s="31"/>
      <c r="S232" s="31"/>
    </row>
    <row r="233" spans="1:19" x14ac:dyDescent="0.25">
      <c r="A233" s="31"/>
      <c r="B233" s="31" t="s">
        <v>218</v>
      </c>
      <c r="C233" s="32" t="s">
        <v>481</v>
      </c>
      <c r="D233" s="33"/>
      <c r="E233" s="32"/>
      <c r="F233" s="32">
        <v>32</v>
      </c>
      <c r="G233" s="32"/>
      <c r="H233" s="26">
        <v>2</v>
      </c>
      <c r="I233" s="31"/>
      <c r="J233" s="31" t="s">
        <v>221</v>
      </c>
      <c r="K233" s="31" t="s">
        <v>482</v>
      </c>
      <c r="L233" s="31"/>
      <c r="M233" s="31"/>
      <c r="N233" s="30" t="s">
        <v>289</v>
      </c>
      <c r="O233" s="31"/>
      <c r="P233" s="32"/>
      <c r="Q233" s="32"/>
      <c r="R233" s="31"/>
      <c r="S233" s="31"/>
    </row>
    <row r="234" spans="1:19" x14ac:dyDescent="0.25">
      <c r="A234" s="31"/>
      <c r="B234" s="37">
        <v>2015</v>
      </c>
      <c r="C234" s="148" t="s">
        <v>483</v>
      </c>
      <c r="D234" s="33" t="s">
        <v>483</v>
      </c>
      <c r="E234" s="32">
        <v>274</v>
      </c>
      <c r="F234" s="32"/>
      <c r="G234" s="32"/>
      <c r="H234" s="26">
        <v>1</v>
      </c>
      <c r="I234" s="31"/>
      <c r="J234" s="31"/>
      <c r="K234" s="31"/>
      <c r="L234" s="31"/>
      <c r="M234" s="31"/>
      <c r="N234" s="30"/>
      <c r="O234" s="31"/>
      <c r="P234" s="32"/>
      <c r="Q234" s="32"/>
      <c r="R234" s="31"/>
      <c r="S234" s="31"/>
    </row>
    <row r="235" spans="1:19" x14ac:dyDescent="0.25">
      <c r="A235" s="31"/>
      <c r="B235" s="31" t="s">
        <v>164</v>
      </c>
      <c r="C235" s="148"/>
      <c r="D235" s="33" t="s">
        <v>484</v>
      </c>
      <c r="E235" s="32">
        <v>14</v>
      </c>
      <c r="F235" s="32"/>
      <c r="G235" s="32"/>
      <c r="H235" s="26"/>
      <c r="I235" s="31"/>
      <c r="J235" s="31" t="s">
        <v>166</v>
      </c>
      <c r="K235" s="31" t="s">
        <v>485</v>
      </c>
      <c r="L235" s="31"/>
      <c r="M235" s="31"/>
      <c r="N235" s="31"/>
      <c r="O235" s="31"/>
      <c r="P235" s="32"/>
      <c r="Q235" s="32"/>
      <c r="R235" s="31"/>
      <c r="S235" s="31"/>
    </row>
    <row r="236" spans="1:19" x14ac:dyDescent="0.25">
      <c r="A236" s="31"/>
      <c r="B236" s="31" t="s">
        <v>152</v>
      </c>
      <c r="C236" s="148"/>
      <c r="D236" s="33" t="s">
        <v>486</v>
      </c>
      <c r="E236" s="32"/>
      <c r="F236" s="32">
        <v>56</v>
      </c>
      <c r="G236" s="32"/>
      <c r="H236" s="26">
        <v>4</v>
      </c>
      <c r="I236" s="31"/>
      <c r="J236" s="31" t="s">
        <v>162</v>
      </c>
      <c r="K236" s="31" t="s">
        <v>485</v>
      </c>
      <c r="L236" s="31"/>
      <c r="M236" s="31"/>
      <c r="N236" s="30" t="s">
        <v>193</v>
      </c>
      <c r="O236" s="31"/>
      <c r="P236" s="32"/>
      <c r="Q236" s="32"/>
      <c r="R236" s="31"/>
      <c r="S236" s="31"/>
    </row>
    <row r="237" spans="1:19" x14ac:dyDescent="0.25">
      <c r="A237" s="31"/>
      <c r="B237" s="31" t="s">
        <v>155</v>
      </c>
      <c r="C237" s="148"/>
      <c r="D237" s="53" t="s">
        <v>487</v>
      </c>
      <c r="E237" s="54"/>
      <c r="F237" s="54">
        <v>1362</v>
      </c>
      <c r="G237" s="54">
        <v>1281</v>
      </c>
      <c r="H237" s="41">
        <v>49</v>
      </c>
      <c r="I237" s="31"/>
      <c r="J237" s="31" t="s">
        <v>158</v>
      </c>
      <c r="K237" s="31" t="s">
        <v>485</v>
      </c>
      <c r="L237" s="31"/>
      <c r="M237" s="31"/>
      <c r="N237" s="30" t="s">
        <v>193</v>
      </c>
      <c r="O237" s="31"/>
      <c r="P237" s="32">
        <v>829</v>
      </c>
      <c r="Q237" s="48">
        <f>G237-P237</f>
        <v>452</v>
      </c>
      <c r="R237" s="31"/>
      <c r="S237" s="31"/>
    </row>
    <row r="238" spans="1:19" x14ac:dyDescent="0.25">
      <c r="A238" s="31"/>
      <c r="B238" s="31" t="s">
        <v>204</v>
      </c>
      <c r="C238" s="148"/>
      <c r="D238" s="33" t="s">
        <v>488</v>
      </c>
      <c r="E238" s="32"/>
      <c r="F238" s="32">
        <v>454</v>
      </c>
      <c r="G238" s="32"/>
      <c r="H238" s="26">
        <v>24</v>
      </c>
      <c r="I238" s="31"/>
      <c r="J238" s="31" t="s">
        <v>206</v>
      </c>
      <c r="K238" s="31" t="s">
        <v>485</v>
      </c>
      <c r="L238" s="31"/>
      <c r="M238" s="31"/>
      <c r="N238" s="59" t="s">
        <v>160</v>
      </c>
      <c r="O238" s="31"/>
      <c r="P238" s="32"/>
      <c r="Q238" s="32"/>
      <c r="R238" s="31"/>
      <c r="S238" s="31"/>
    </row>
    <row r="239" spans="1:19" x14ac:dyDescent="0.25">
      <c r="A239" s="31"/>
      <c r="B239" s="31" t="s">
        <v>204</v>
      </c>
      <c r="C239" s="148"/>
      <c r="D239" s="33" t="s">
        <v>489</v>
      </c>
      <c r="E239" s="32"/>
      <c r="F239" s="32">
        <v>479</v>
      </c>
      <c r="G239" s="32"/>
      <c r="H239" s="26">
        <v>21</v>
      </c>
      <c r="I239" s="31"/>
      <c r="J239" s="31" t="s">
        <v>206</v>
      </c>
      <c r="K239" s="31" t="s">
        <v>485</v>
      </c>
      <c r="L239" s="31"/>
      <c r="M239" s="31"/>
      <c r="N239" s="59" t="s">
        <v>160</v>
      </c>
      <c r="O239" s="31"/>
      <c r="P239" s="32"/>
      <c r="Q239" s="32"/>
      <c r="R239" s="31"/>
      <c r="S239" s="31"/>
    </row>
    <row r="240" spans="1:19" x14ac:dyDescent="0.25">
      <c r="A240" s="31"/>
      <c r="B240" s="31" t="s">
        <v>204</v>
      </c>
      <c r="C240" s="148"/>
      <c r="D240" s="77" t="s">
        <v>490</v>
      </c>
      <c r="E240" s="78"/>
      <c r="F240" s="78">
        <v>732</v>
      </c>
      <c r="G240" s="78"/>
      <c r="H240" s="76">
        <v>42</v>
      </c>
      <c r="I240" s="31"/>
      <c r="J240" s="31" t="s">
        <v>206</v>
      </c>
      <c r="K240" s="31" t="s">
        <v>485</v>
      </c>
      <c r="L240" s="31"/>
      <c r="M240" s="31"/>
      <c r="N240" s="59" t="s">
        <v>160</v>
      </c>
      <c r="O240" s="31"/>
      <c r="P240" s="32"/>
      <c r="Q240" s="32"/>
      <c r="R240" s="31"/>
      <c r="S240" s="31"/>
    </row>
    <row r="241" spans="1:19" x14ac:dyDescent="0.25">
      <c r="A241" s="31"/>
      <c r="B241" s="31" t="s">
        <v>204</v>
      </c>
      <c r="C241" s="148"/>
      <c r="D241" s="33" t="s">
        <v>491</v>
      </c>
      <c r="E241" s="32"/>
      <c r="F241" s="32">
        <v>503</v>
      </c>
      <c r="G241" s="32"/>
      <c r="H241" s="26">
        <v>25</v>
      </c>
      <c r="I241" s="31"/>
      <c r="J241" s="31" t="s">
        <v>206</v>
      </c>
      <c r="K241" s="31" t="s">
        <v>485</v>
      </c>
      <c r="L241" s="31"/>
      <c r="M241" s="31"/>
      <c r="N241" s="59" t="s">
        <v>160</v>
      </c>
      <c r="O241" s="31"/>
      <c r="P241" s="32"/>
      <c r="Q241" s="32"/>
      <c r="R241" s="31"/>
      <c r="S241" s="31"/>
    </row>
    <row r="242" spans="1:19" x14ac:dyDescent="0.25">
      <c r="A242" s="31"/>
      <c r="B242" s="31" t="s">
        <v>204</v>
      </c>
      <c r="C242" s="148"/>
      <c r="D242" s="60" t="s">
        <v>492</v>
      </c>
      <c r="E242" s="61"/>
      <c r="F242" s="61">
        <v>368</v>
      </c>
      <c r="G242" s="61"/>
      <c r="H242" s="62">
        <v>24</v>
      </c>
      <c r="I242" s="31"/>
      <c r="J242" s="31" t="s">
        <v>206</v>
      </c>
      <c r="K242" s="31" t="s">
        <v>485</v>
      </c>
      <c r="L242" s="31"/>
      <c r="M242" s="31"/>
      <c r="N242" s="59" t="s">
        <v>160</v>
      </c>
      <c r="O242" s="31"/>
      <c r="P242" s="32"/>
      <c r="Q242" s="32"/>
      <c r="R242" s="31"/>
      <c r="S242" s="31"/>
    </row>
    <row r="243" spans="1:19" x14ac:dyDescent="0.25">
      <c r="A243" s="31"/>
      <c r="B243" s="31" t="s">
        <v>204</v>
      </c>
      <c r="C243" s="148"/>
      <c r="D243" s="33" t="s">
        <v>493</v>
      </c>
      <c r="E243" s="32"/>
      <c r="F243" s="32">
        <v>328</v>
      </c>
      <c r="G243" s="32"/>
      <c r="H243" s="26">
        <v>28</v>
      </c>
      <c r="I243" s="31"/>
      <c r="J243" s="31" t="s">
        <v>206</v>
      </c>
      <c r="K243" s="31" t="s">
        <v>485</v>
      </c>
      <c r="L243" s="31"/>
      <c r="M243" s="31"/>
      <c r="N243" s="59" t="s">
        <v>160</v>
      </c>
      <c r="O243" s="31"/>
      <c r="P243" s="32"/>
      <c r="Q243" s="32"/>
      <c r="R243" s="31"/>
      <c r="S243" s="31"/>
    </row>
    <row r="244" spans="1:19" x14ac:dyDescent="0.25">
      <c r="A244" s="31"/>
      <c r="B244" s="31" t="s">
        <v>204</v>
      </c>
      <c r="C244" s="148"/>
      <c r="D244" s="15" t="s">
        <v>494</v>
      </c>
      <c r="E244" s="39"/>
      <c r="F244" s="39">
        <v>656</v>
      </c>
      <c r="G244" s="39"/>
      <c r="H244" s="72">
        <v>30</v>
      </c>
      <c r="I244" s="31"/>
      <c r="J244" s="31" t="s">
        <v>206</v>
      </c>
      <c r="K244" s="31" t="s">
        <v>485</v>
      </c>
      <c r="L244" s="31"/>
      <c r="M244" s="31"/>
      <c r="N244" s="59" t="s">
        <v>160</v>
      </c>
      <c r="O244" s="31"/>
      <c r="P244" s="32"/>
      <c r="Q244" s="32"/>
      <c r="R244" s="31"/>
      <c r="S244" s="31"/>
    </row>
    <row r="245" spans="1:19" x14ac:dyDescent="0.25">
      <c r="A245" s="31"/>
      <c r="B245" s="31" t="s">
        <v>204</v>
      </c>
      <c r="C245" s="148"/>
      <c r="D245" s="33" t="s">
        <v>495</v>
      </c>
      <c r="E245" s="32"/>
      <c r="F245" s="32">
        <v>472</v>
      </c>
      <c r="G245" s="32"/>
      <c r="H245" s="26">
        <v>31</v>
      </c>
      <c r="I245" s="31"/>
      <c r="J245" s="31" t="s">
        <v>206</v>
      </c>
      <c r="K245" s="31" t="s">
        <v>485</v>
      </c>
      <c r="L245" s="31"/>
      <c r="M245" s="31"/>
      <c r="N245" s="59" t="s">
        <v>160</v>
      </c>
      <c r="O245" s="31"/>
      <c r="P245" s="32"/>
      <c r="Q245" s="32"/>
      <c r="R245" s="31"/>
      <c r="S245" s="31"/>
    </row>
    <row r="246" spans="1:19" x14ac:dyDescent="0.25">
      <c r="A246" s="31"/>
      <c r="B246" s="31" t="s">
        <v>204</v>
      </c>
      <c r="C246" s="148"/>
      <c r="D246" s="53" t="s">
        <v>496</v>
      </c>
      <c r="E246" s="54"/>
      <c r="F246" s="54">
        <v>289</v>
      </c>
      <c r="G246" s="54"/>
      <c r="H246" s="41">
        <v>20</v>
      </c>
      <c r="I246" s="31"/>
      <c r="J246" s="31" t="s">
        <v>206</v>
      </c>
      <c r="K246" s="31" t="s">
        <v>485</v>
      </c>
      <c r="L246" s="31"/>
      <c r="M246" s="31"/>
      <c r="N246" s="59" t="s">
        <v>160</v>
      </c>
      <c r="O246" s="31"/>
      <c r="P246" s="32"/>
      <c r="Q246" s="32"/>
      <c r="R246" s="31"/>
      <c r="S246" s="31"/>
    </row>
    <row r="247" spans="1:19" x14ac:dyDescent="0.25">
      <c r="A247" s="31"/>
      <c r="B247" s="31" t="s">
        <v>204</v>
      </c>
      <c r="C247" s="148"/>
      <c r="D247" s="53" t="s">
        <v>497</v>
      </c>
      <c r="E247" s="54"/>
      <c r="F247" s="54">
        <v>765</v>
      </c>
      <c r="G247" s="54"/>
      <c r="H247" s="41">
        <v>37</v>
      </c>
      <c r="I247" s="31"/>
      <c r="J247" s="31" t="s">
        <v>206</v>
      </c>
      <c r="K247" s="31" t="s">
        <v>485</v>
      </c>
      <c r="L247" s="31"/>
      <c r="M247" s="31"/>
      <c r="N247" s="59" t="s">
        <v>160</v>
      </c>
      <c r="O247" s="31"/>
      <c r="P247" s="32"/>
      <c r="Q247" s="32"/>
      <c r="R247" s="31"/>
      <c r="S247" s="31"/>
    </row>
    <row r="248" spans="1:19" x14ac:dyDescent="0.25">
      <c r="A248" s="31"/>
      <c r="B248" s="31" t="s">
        <v>152</v>
      </c>
      <c r="C248" s="32" t="s">
        <v>498</v>
      </c>
      <c r="D248" s="33" t="s">
        <v>499</v>
      </c>
      <c r="E248" s="32"/>
      <c r="F248" s="32">
        <v>10</v>
      </c>
      <c r="G248" s="32"/>
      <c r="H248" s="26">
        <v>2</v>
      </c>
      <c r="I248" s="31"/>
      <c r="J248" s="31" t="s">
        <v>162</v>
      </c>
      <c r="K248" s="31"/>
      <c r="L248" s="31"/>
      <c r="M248" s="31"/>
      <c r="N248" s="30" t="s">
        <v>193</v>
      </c>
      <c r="O248" s="31"/>
      <c r="P248" s="32"/>
      <c r="Q248" s="32"/>
      <c r="R248" s="31"/>
      <c r="S248" s="31"/>
    </row>
    <row r="249" spans="1:19" x14ac:dyDescent="0.25">
      <c r="A249" s="31"/>
      <c r="B249" s="37">
        <v>2015</v>
      </c>
      <c r="C249" s="32" t="s">
        <v>500</v>
      </c>
      <c r="D249" s="33" t="s">
        <v>500</v>
      </c>
      <c r="E249" s="32"/>
      <c r="F249" s="32">
        <v>56</v>
      </c>
      <c r="G249" s="32"/>
      <c r="H249" s="26">
        <v>2</v>
      </c>
      <c r="I249" s="31"/>
      <c r="J249" s="31"/>
      <c r="K249" s="31" t="s">
        <v>501</v>
      </c>
      <c r="L249" s="31" t="s">
        <v>217</v>
      </c>
      <c r="M249" s="31"/>
      <c r="N249" s="59" t="s">
        <v>160</v>
      </c>
      <c r="O249" s="31"/>
      <c r="P249" s="32"/>
      <c r="Q249" s="32"/>
      <c r="R249" s="31"/>
      <c r="S249" s="31"/>
    </row>
    <row r="250" spans="1:19" x14ac:dyDescent="0.25">
      <c r="A250" s="31"/>
      <c r="B250" s="37">
        <v>2015</v>
      </c>
      <c r="C250" s="135" t="s">
        <v>502</v>
      </c>
      <c r="D250" s="53" t="s">
        <v>503</v>
      </c>
      <c r="E250" s="54"/>
      <c r="F250" s="54">
        <v>165</v>
      </c>
      <c r="G250" s="54"/>
      <c r="H250" s="41">
        <v>2</v>
      </c>
      <c r="I250" s="31"/>
      <c r="J250" s="31"/>
      <c r="K250" s="31" t="s">
        <v>90</v>
      </c>
      <c r="L250" s="31" t="s">
        <v>217</v>
      </c>
      <c r="M250" s="31"/>
      <c r="N250" s="59" t="s">
        <v>160</v>
      </c>
      <c r="O250" s="31"/>
      <c r="P250" s="32"/>
      <c r="Q250" s="32"/>
      <c r="R250" s="31"/>
      <c r="S250" s="31"/>
    </row>
    <row r="251" spans="1:19" x14ac:dyDescent="0.25">
      <c r="A251" s="31"/>
      <c r="B251" s="31" t="s">
        <v>152</v>
      </c>
      <c r="C251" s="136"/>
      <c r="D251" s="33" t="s">
        <v>504</v>
      </c>
      <c r="E251" s="32">
        <v>5</v>
      </c>
      <c r="F251" s="32"/>
      <c r="G251" s="32"/>
      <c r="H251" s="26">
        <v>1</v>
      </c>
      <c r="I251" s="31"/>
      <c r="J251" s="31" t="s">
        <v>162</v>
      </c>
      <c r="K251" s="31" t="s">
        <v>90</v>
      </c>
      <c r="L251" s="31" t="s">
        <v>217</v>
      </c>
      <c r="M251" s="31"/>
      <c r="N251" s="59" t="s">
        <v>160</v>
      </c>
      <c r="O251" s="31"/>
      <c r="P251" s="32"/>
      <c r="Q251" s="32"/>
      <c r="R251" s="31"/>
      <c r="S251" s="31"/>
    </row>
    <row r="252" spans="1:19" x14ac:dyDescent="0.25">
      <c r="A252" s="31"/>
      <c r="B252" s="37">
        <v>2015</v>
      </c>
      <c r="C252" s="135" t="s">
        <v>505</v>
      </c>
      <c r="D252" s="36" t="s">
        <v>506</v>
      </c>
      <c r="E252" s="54"/>
      <c r="F252" s="54">
        <v>124</v>
      </c>
      <c r="G252" s="54"/>
      <c r="H252" s="41">
        <v>2</v>
      </c>
      <c r="I252" s="31"/>
      <c r="J252" s="31"/>
      <c r="K252" s="31" t="s">
        <v>128</v>
      </c>
      <c r="L252" s="31" t="s">
        <v>217</v>
      </c>
      <c r="M252" s="31"/>
      <c r="N252" s="59" t="s">
        <v>160</v>
      </c>
      <c r="O252" s="31"/>
      <c r="P252" s="32"/>
      <c r="Q252" s="32"/>
      <c r="R252" s="31"/>
      <c r="S252" s="31"/>
    </row>
    <row r="253" spans="1:19" x14ac:dyDescent="0.25">
      <c r="A253" s="31"/>
      <c r="B253" s="31" t="s">
        <v>152</v>
      </c>
      <c r="C253" s="135"/>
      <c r="D253" s="33" t="s">
        <v>507</v>
      </c>
      <c r="E253" s="32">
        <v>7</v>
      </c>
      <c r="F253" s="32"/>
      <c r="G253" s="32"/>
      <c r="H253" s="26">
        <v>1</v>
      </c>
      <c r="I253" s="31"/>
      <c r="J253" s="31" t="s">
        <v>162</v>
      </c>
      <c r="K253" s="31" t="s">
        <v>128</v>
      </c>
      <c r="L253" s="31" t="s">
        <v>217</v>
      </c>
      <c r="M253" s="31"/>
      <c r="N253" s="59" t="s">
        <v>160</v>
      </c>
      <c r="O253" s="31"/>
      <c r="P253" s="32"/>
      <c r="Q253" s="32"/>
      <c r="R253" s="31"/>
      <c r="S253" s="31"/>
    </row>
    <row r="254" spans="1:19" x14ac:dyDescent="0.25">
      <c r="A254" s="31"/>
      <c r="B254" s="31" t="s">
        <v>149</v>
      </c>
      <c r="C254" s="32" t="s">
        <v>508</v>
      </c>
      <c r="D254" s="33" t="s">
        <v>509</v>
      </c>
      <c r="E254" s="32">
        <v>55</v>
      </c>
      <c r="F254" s="32"/>
      <c r="G254" s="32"/>
      <c r="H254" s="26">
        <v>1</v>
      </c>
      <c r="I254" s="31"/>
      <c r="J254" s="31"/>
      <c r="K254" s="31"/>
      <c r="L254" s="31"/>
      <c r="M254" s="31"/>
      <c r="N254" s="30" t="s">
        <v>289</v>
      </c>
      <c r="O254" s="31"/>
      <c r="P254" s="32"/>
      <c r="Q254" s="32"/>
      <c r="R254" s="31"/>
      <c r="S254" s="31"/>
    </row>
    <row r="255" spans="1:19" x14ac:dyDescent="0.25">
      <c r="A255" s="31"/>
      <c r="B255" s="31" t="s">
        <v>149</v>
      </c>
      <c r="C255" s="32" t="s">
        <v>510</v>
      </c>
      <c r="D255" s="33" t="s">
        <v>511</v>
      </c>
      <c r="E255" s="32">
        <v>98</v>
      </c>
      <c r="F255" s="32"/>
      <c r="G255" s="32"/>
      <c r="H255" s="26">
        <v>1</v>
      </c>
      <c r="I255" s="31"/>
      <c r="J255" s="31"/>
      <c r="K255" s="31"/>
      <c r="L255" s="31"/>
      <c r="M255" s="31"/>
      <c r="N255" s="30" t="s">
        <v>289</v>
      </c>
      <c r="O255" s="31"/>
      <c r="P255" s="32"/>
      <c r="Q255" s="32"/>
      <c r="R255" s="31"/>
      <c r="S255" s="31"/>
    </row>
    <row r="256" spans="1:19" x14ac:dyDescent="0.25">
      <c r="A256" s="31"/>
      <c r="B256" s="31" t="s">
        <v>149</v>
      </c>
      <c r="C256" s="32" t="s">
        <v>512</v>
      </c>
      <c r="D256" s="33" t="s">
        <v>513</v>
      </c>
      <c r="E256" s="32">
        <v>65</v>
      </c>
      <c r="F256" s="32"/>
      <c r="G256" s="32"/>
      <c r="H256" s="26">
        <v>1</v>
      </c>
      <c r="I256" s="31"/>
      <c r="J256" s="31"/>
      <c r="K256" s="31"/>
      <c r="L256" s="31"/>
      <c r="M256" s="31"/>
      <c r="N256" s="30" t="s">
        <v>289</v>
      </c>
      <c r="O256" s="31"/>
      <c r="P256" s="32"/>
      <c r="Q256" s="32"/>
      <c r="R256" s="31"/>
      <c r="S256" s="31"/>
    </row>
    <row r="257" spans="1:19" x14ac:dyDescent="0.25">
      <c r="A257" s="31"/>
      <c r="B257" s="31" t="s">
        <v>149</v>
      </c>
      <c r="C257" s="54" t="s">
        <v>514</v>
      </c>
      <c r="D257" s="53" t="s">
        <v>515</v>
      </c>
      <c r="E257" s="54">
        <v>466</v>
      </c>
      <c r="F257" s="54"/>
      <c r="G257" s="54"/>
      <c r="H257" s="41">
        <v>1</v>
      </c>
      <c r="I257" s="31"/>
      <c r="J257" s="31"/>
      <c r="K257" s="31"/>
      <c r="L257" s="31"/>
      <c r="M257" s="31"/>
      <c r="N257" s="30" t="s">
        <v>289</v>
      </c>
      <c r="O257" s="31"/>
      <c r="P257" s="32"/>
      <c r="Q257" s="32"/>
      <c r="R257" s="31"/>
      <c r="S257" s="31"/>
    </row>
    <row r="258" spans="1:19" x14ac:dyDescent="0.25">
      <c r="A258" s="31"/>
      <c r="B258" s="31" t="s">
        <v>149</v>
      </c>
      <c r="C258" s="32" t="s">
        <v>516</v>
      </c>
      <c r="D258" s="33" t="s">
        <v>517</v>
      </c>
      <c r="E258" s="32"/>
      <c r="F258" s="32">
        <v>60</v>
      </c>
      <c r="G258" s="32"/>
      <c r="H258" s="26">
        <v>2</v>
      </c>
      <c r="I258" s="31"/>
      <c r="J258" s="31"/>
      <c r="K258" s="31"/>
      <c r="L258" s="31"/>
      <c r="M258" s="31"/>
      <c r="N258" s="30" t="s">
        <v>160</v>
      </c>
      <c r="O258" s="31"/>
      <c r="P258" s="32"/>
      <c r="Q258" s="32"/>
      <c r="R258" s="31"/>
      <c r="S258" s="31"/>
    </row>
    <row r="259" spans="1:19" x14ac:dyDescent="0.25">
      <c r="A259" s="31"/>
      <c r="B259" s="31" t="s">
        <v>152</v>
      </c>
      <c r="C259" s="32" t="s">
        <v>518</v>
      </c>
      <c r="D259" s="33" t="s">
        <v>518</v>
      </c>
      <c r="E259" s="32">
        <v>65</v>
      </c>
      <c r="F259" s="32"/>
      <c r="G259" s="32"/>
      <c r="H259" s="26">
        <v>1</v>
      </c>
      <c r="I259" s="31"/>
      <c r="J259" s="31"/>
      <c r="K259" s="31"/>
      <c r="L259" s="31"/>
      <c r="M259" s="31"/>
      <c r="N259" s="30" t="s">
        <v>289</v>
      </c>
      <c r="O259" s="31"/>
      <c r="P259" s="32"/>
      <c r="Q259" s="32"/>
      <c r="R259" s="31"/>
      <c r="S259" s="31"/>
    </row>
    <row r="260" spans="1:19" x14ac:dyDescent="0.25">
      <c r="A260" s="31"/>
      <c r="B260" s="31" t="s">
        <v>218</v>
      </c>
      <c r="C260" s="39" t="s">
        <v>519</v>
      </c>
      <c r="D260" s="33" t="s">
        <v>520</v>
      </c>
      <c r="E260" s="32"/>
      <c r="F260" s="32">
        <v>328</v>
      </c>
      <c r="G260" s="32"/>
      <c r="H260" s="26">
        <v>26</v>
      </c>
      <c r="I260" s="31"/>
      <c r="J260" s="31" t="s">
        <v>221</v>
      </c>
      <c r="K260" s="31" t="s">
        <v>521</v>
      </c>
      <c r="L260" s="31"/>
      <c r="M260" s="31"/>
      <c r="N260" s="30" t="s">
        <v>193</v>
      </c>
      <c r="O260" s="31"/>
      <c r="P260" s="32"/>
      <c r="Q260" s="32"/>
      <c r="R260" s="31"/>
      <c r="S260" s="31"/>
    </row>
    <row r="261" spans="1:19" x14ac:dyDescent="0.25">
      <c r="A261" s="31"/>
      <c r="B261" s="31" t="s">
        <v>149</v>
      </c>
      <c r="C261" s="156" t="s">
        <v>522</v>
      </c>
      <c r="D261" s="53" t="s">
        <v>523</v>
      </c>
      <c r="E261" s="54">
        <v>266</v>
      </c>
      <c r="F261" s="73"/>
      <c r="G261" s="54">
        <v>264</v>
      </c>
      <c r="H261" s="41">
        <v>1</v>
      </c>
      <c r="I261" s="31"/>
      <c r="J261" s="31"/>
      <c r="K261" s="31"/>
      <c r="L261" s="31"/>
      <c r="M261" s="31"/>
      <c r="N261" s="31"/>
      <c r="O261" s="31"/>
      <c r="P261" s="32">
        <v>311</v>
      </c>
      <c r="Q261" s="46">
        <f>G261-P261</f>
        <v>-47</v>
      </c>
      <c r="R261" s="31"/>
      <c r="S261" s="31"/>
    </row>
    <row r="262" spans="1:19" x14ac:dyDescent="0.25">
      <c r="A262" s="31"/>
      <c r="B262" s="31" t="s">
        <v>149</v>
      </c>
      <c r="C262" s="156"/>
      <c r="D262" s="15" t="s">
        <v>524</v>
      </c>
      <c r="E262" s="39">
        <v>515</v>
      </c>
      <c r="F262" s="39"/>
      <c r="G262" s="39"/>
      <c r="H262" s="72">
        <v>1</v>
      </c>
      <c r="I262" s="31"/>
      <c r="J262" s="31"/>
      <c r="K262" s="31"/>
      <c r="L262" s="31"/>
      <c r="M262" s="31"/>
      <c r="N262" s="31"/>
      <c r="O262" s="31"/>
      <c r="P262" s="32"/>
      <c r="Q262" s="32"/>
      <c r="R262" s="31"/>
      <c r="S262" s="31"/>
    </row>
    <row r="263" spans="1:19" x14ac:dyDescent="0.25">
      <c r="A263" s="31"/>
      <c r="B263" s="37">
        <v>2015</v>
      </c>
      <c r="C263" s="156"/>
      <c r="D263" s="33" t="s">
        <v>93</v>
      </c>
      <c r="E263" s="32">
        <v>23</v>
      </c>
      <c r="F263" s="32"/>
      <c r="G263" s="32"/>
      <c r="H263" s="26">
        <v>1</v>
      </c>
      <c r="I263" s="31"/>
      <c r="J263" s="31"/>
      <c r="K263" s="31"/>
      <c r="L263" s="31" t="s">
        <v>217</v>
      </c>
      <c r="M263" s="31"/>
      <c r="N263" s="31"/>
      <c r="O263" s="31"/>
      <c r="P263" s="32"/>
      <c r="Q263" s="32"/>
      <c r="R263" s="31"/>
      <c r="S263" s="31"/>
    </row>
    <row r="264" spans="1:19" x14ac:dyDescent="0.25">
      <c r="A264" s="31"/>
      <c r="B264" s="31" t="s">
        <v>152</v>
      </c>
      <c r="C264" s="156"/>
      <c r="D264" s="33" t="s">
        <v>525</v>
      </c>
      <c r="E264" s="32">
        <v>11</v>
      </c>
      <c r="F264" s="32"/>
      <c r="G264" s="32"/>
      <c r="H264" s="26">
        <v>1</v>
      </c>
      <c r="I264" s="31"/>
      <c r="J264" s="31" t="s">
        <v>162</v>
      </c>
      <c r="K264" s="31" t="s">
        <v>526</v>
      </c>
      <c r="L264" s="31" t="s">
        <v>527</v>
      </c>
      <c r="M264" s="31"/>
      <c r="N264" s="31"/>
      <c r="O264" s="31"/>
      <c r="P264" s="32"/>
      <c r="Q264" s="32"/>
      <c r="R264" s="31"/>
      <c r="S264" s="31"/>
    </row>
    <row r="265" spans="1:19" x14ac:dyDescent="0.25">
      <c r="A265" s="31"/>
      <c r="B265" s="31" t="s">
        <v>152</v>
      </c>
      <c r="C265" s="156"/>
      <c r="D265" s="33" t="s">
        <v>528</v>
      </c>
      <c r="E265" s="32">
        <v>42</v>
      </c>
      <c r="F265" s="32"/>
      <c r="G265" s="32"/>
      <c r="H265" s="26">
        <v>1</v>
      </c>
      <c r="I265" s="31"/>
      <c r="J265" s="31" t="s">
        <v>162</v>
      </c>
      <c r="K265" s="31" t="s">
        <v>529</v>
      </c>
      <c r="L265" s="31" t="s">
        <v>530</v>
      </c>
      <c r="M265" s="31"/>
      <c r="N265" s="31"/>
      <c r="O265" s="31"/>
      <c r="P265" s="32"/>
      <c r="Q265" s="32"/>
      <c r="R265" s="31"/>
      <c r="S265" s="31"/>
    </row>
    <row r="266" spans="1:19" x14ac:dyDescent="0.25">
      <c r="A266" s="31"/>
      <c r="B266" s="31" t="s">
        <v>152</v>
      </c>
      <c r="C266" s="156"/>
      <c r="D266" s="33" t="s">
        <v>531</v>
      </c>
      <c r="E266" s="32">
        <v>6</v>
      </c>
      <c r="F266" s="32"/>
      <c r="G266" s="32"/>
      <c r="H266" s="26">
        <v>1</v>
      </c>
      <c r="I266" s="31"/>
      <c r="J266" s="31" t="s">
        <v>162</v>
      </c>
      <c r="K266" s="31" t="s">
        <v>532</v>
      </c>
      <c r="L266" s="31" t="s">
        <v>530</v>
      </c>
      <c r="M266" s="31"/>
      <c r="N266" s="31"/>
      <c r="O266" s="31"/>
      <c r="P266" s="32"/>
      <c r="Q266" s="32"/>
      <c r="R266" s="31"/>
      <c r="S266" s="31"/>
    </row>
    <row r="267" spans="1:19" x14ac:dyDescent="0.25">
      <c r="A267" s="31"/>
      <c r="B267" s="31" t="s">
        <v>152</v>
      </c>
      <c r="C267" s="156"/>
      <c r="D267" s="33" t="s">
        <v>533</v>
      </c>
      <c r="E267" s="32">
        <v>30</v>
      </c>
      <c r="F267" s="32"/>
      <c r="G267" s="32"/>
      <c r="H267" s="26">
        <v>1</v>
      </c>
      <c r="I267" s="31"/>
      <c r="J267" s="31" t="s">
        <v>162</v>
      </c>
      <c r="K267" s="31" t="s">
        <v>534</v>
      </c>
      <c r="L267" s="74" t="s">
        <v>222</v>
      </c>
      <c r="M267" s="31"/>
      <c r="N267" s="31"/>
      <c r="O267" s="31"/>
      <c r="P267" s="32"/>
      <c r="Q267" s="32"/>
      <c r="R267" s="31"/>
      <c r="S267" s="31"/>
    </row>
    <row r="268" spans="1:19" x14ac:dyDescent="0.25">
      <c r="A268" s="31"/>
      <c r="B268" s="31" t="s">
        <v>152</v>
      </c>
      <c r="C268" s="156"/>
      <c r="D268" s="33" t="s">
        <v>535</v>
      </c>
      <c r="E268" s="32">
        <v>4</v>
      </c>
      <c r="F268" s="32"/>
      <c r="G268" s="32"/>
      <c r="H268" s="26">
        <v>1</v>
      </c>
      <c r="I268" s="31"/>
      <c r="J268" s="31" t="s">
        <v>162</v>
      </c>
      <c r="K268" s="31" t="s">
        <v>536</v>
      </c>
      <c r="L268" s="31" t="s">
        <v>527</v>
      </c>
      <c r="M268" s="31"/>
      <c r="N268" s="31"/>
      <c r="O268" s="31"/>
      <c r="P268" s="32"/>
      <c r="Q268" s="32"/>
      <c r="R268" s="31"/>
      <c r="S268" s="31"/>
    </row>
    <row r="269" spans="1:19" x14ac:dyDescent="0.25">
      <c r="A269" s="31"/>
      <c r="B269" s="31" t="s">
        <v>152</v>
      </c>
      <c r="C269" s="156"/>
      <c r="D269" s="33" t="s">
        <v>537</v>
      </c>
      <c r="E269" s="32">
        <v>88</v>
      </c>
      <c r="F269" s="32"/>
      <c r="G269" s="32"/>
      <c r="H269" s="26">
        <v>1</v>
      </c>
      <c r="I269" s="31"/>
      <c r="J269" s="31" t="s">
        <v>162</v>
      </c>
      <c r="K269" s="31" t="s">
        <v>538</v>
      </c>
      <c r="L269" s="74" t="s">
        <v>539</v>
      </c>
      <c r="M269" s="31"/>
      <c r="N269" s="31"/>
      <c r="O269" s="31"/>
      <c r="P269" s="32"/>
      <c r="Q269" s="32"/>
      <c r="R269" s="31"/>
      <c r="S269" s="31"/>
    </row>
    <row r="270" spans="1:19" x14ac:dyDescent="0.25">
      <c r="A270" s="31"/>
      <c r="B270" s="31" t="s">
        <v>152</v>
      </c>
      <c r="C270" s="156"/>
      <c r="D270" s="33" t="s">
        <v>540</v>
      </c>
      <c r="E270" s="32">
        <v>62</v>
      </c>
      <c r="F270" s="32"/>
      <c r="G270" s="32"/>
      <c r="H270" s="26">
        <v>1</v>
      </c>
      <c r="I270" s="31"/>
      <c r="J270" s="31" t="s">
        <v>162</v>
      </c>
      <c r="K270" s="31" t="s">
        <v>541</v>
      </c>
      <c r="L270" s="74" t="s">
        <v>542</v>
      </c>
      <c r="M270" s="31"/>
      <c r="N270" s="31"/>
      <c r="O270" s="31"/>
      <c r="P270" s="32"/>
      <c r="Q270" s="32"/>
      <c r="R270" s="31"/>
      <c r="S270" s="31"/>
    </row>
    <row r="271" spans="1:19" x14ac:dyDescent="0.25">
      <c r="A271" s="31"/>
      <c r="B271" s="31" t="s">
        <v>152</v>
      </c>
      <c r="C271" s="156"/>
      <c r="D271" s="33" t="s">
        <v>543</v>
      </c>
      <c r="E271" s="32">
        <v>3</v>
      </c>
      <c r="F271" s="32"/>
      <c r="G271" s="32"/>
      <c r="H271" s="26">
        <v>1</v>
      </c>
      <c r="I271" s="31"/>
      <c r="J271" s="31" t="s">
        <v>162</v>
      </c>
      <c r="K271" s="31" t="s">
        <v>544</v>
      </c>
      <c r="L271" s="74" t="s">
        <v>542</v>
      </c>
      <c r="M271" s="31"/>
      <c r="N271" s="31"/>
      <c r="O271" s="31"/>
      <c r="P271" s="32"/>
      <c r="Q271" s="32"/>
      <c r="R271" s="31"/>
      <c r="S271" s="31"/>
    </row>
    <row r="272" spans="1:19" x14ac:dyDescent="0.25">
      <c r="A272" s="31"/>
      <c r="B272" s="31" t="s">
        <v>152</v>
      </c>
      <c r="C272" s="156"/>
      <c r="D272" s="33" t="s">
        <v>545</v>
      </c>
      <c r="E272" s="32">
        <v>1</v>
      </c>
      <c r="F272" s="32"/>
      <c r="G272" s="32"/>
      <c r="H272" s="26">
        <v>1</v>
      </c>
      <c r="I272" s="31"/>
      <c r="J272" s="31" t="s">
        <v>162</v>
      </c>
      <c r="K272" s="31" t="s">
        <v>546</v>
      </c>
      <c r="L272" s="74" t="s">
        <v>542</v>
      </c>
      <c r="M272" s="31"/>
      <c r="N272" s="31"/>
      <c r="O272" s="31"/>
      <c r="P272" s="32"/>
      <c r="Q272" s="32"/>
      <c r="R272" s="31"/>
      <c r="S272" s="31"/>
    </row>
    <row r="273" spans="1:19" x14ac:dyDescent="0.25">
      <c r="A273" s="31"/>
      <c r="B273" s="31" t="s">
        <v>152</v>
      </c>
      <c r="C273" s="156"/>
      <c r="D273" s="33" t="s">
        <v>547</v>
      </c>
      <c r="E273" s="32">
        <v>3</v>
      </c>
      <c r="F273" s="32"/>
      <c r="G273" s="32"/>
      <c r="H273" s="26">
        <v>1</v>
      </c>
      <c r="I273" s="31"/>
      <c r="J273" s="31" t="s">
        <v>162</v>
      </c>
      <c r="K273" s="31" t="s">
        <v>548</v>
      </c>
      <c r="L273" s="74" t="s">
        <v>542</v>
      </c>
      <c r="M273" s="31"/>
      <c r="N273" s="31"/>
      <c r="O273" s="31"/>
      <c r="P273" s="32"/>
      <c r="Q273" s="32"/>
      <c r="R273" s="31"/>
      <c r="S273" s="31"/>
    </row>
    <row r="274" spans="1:19" x14ac:dyDescent="0.25">
      <c r="A274" s="31"/>
      <c r="B274" s="31" t="s">
        <v>152</v>
      </c>
      <c r="C274" s="156"/>
      <c r="D274" s="33" t="s">
        <v>549</v>
      </c>
      <c r="E274" s="32">
        <v>33</v>
      </c>
      <c r="F274" s="32"/>
      <c r="G274" s="32"/>
      <c r="H274" s="26">
        <v>1</v>
      </c>
      <c r="I274" s="31"/>
      <c r="J274" s="31" t="s">
        <v>162</v>
      </c>
      <c r="K274" s="31" t="s">
        <v>550</v>
      </c>
      <c r="L274" s="74" t="s">
        <v>542</v>
      </c>
      <c r="M274" s="31"/>
      <c r="N274" s="31"/>
      <c r="O274" s="31"/>
      <c r="P274" s="32"/>
      <c r="Q274" s="32"/>
      <c r="R274" s="31"/>
      <c r="S274" s="31"/>
    </row>
    <row r="275" spans="1:19" x14ac:dyDescent="0.25">
      <c r="A275" s="31"/>
      <c r="B275" s="31" t="s">
        <v>152</v>
      </c>
      <c r="C275" s="156"/>
      <c r="D275" s="33" t="s">
        <v>551</v>
      </c>
      <c r="E275" s="32">
        <v>22</v>
      </c>
      <c r="F275" s="32"/>
      <c r="G275" s="32"/>
      <c r="H275" s="26">
        <v>1</v>
      </c>
      <c r="I275" s="31"/>
      <c r="J275" s="31" t="s">
        <v>162</v>
      </c>
      <c r="K275" s="31" t="s">
        <v>552</v>
      </c>
      <c r="L275" s="74" t="s">
        <v>527</v>
      </c>
      <c r="M275" s="31"/>
      <c r="N275" s="31"/>
      <c r="O275" s="31"/>
      <c r="P275" s="32"/>
      <c r="Q275" s="32"/>
      <c r="R275" s="31"/>
      <c r="S275" s="31"/>
    </row>
    <row r="276" spans="1:19" x14ac:dyDescent="0.25">
      <c r="A276" s="31"/>
      <c r="B276" s="31" t="s">
        <v>152</v>
      </c>
      <c r="C276" s="156"/>
      <c r="D276" s="33" t="s">
        <v>553</v>
      </c>
      <c r="E276" s="32">
        <v>34</v>
      </c>
      <c r="F276" s="32"/>
      <c r="G276" s="32"/>
      <c r="H276" s="26">
        <v>1</v>
      </c>
      <c r="I276" s="31"/>
      <c r="J276" s="31" t="s">
        <v>162</v>
      </c>
      <c r="K276" s="31" t="s">
        <v>554</v>
      </c>
      <c r="L276" s="74" t="s">
        <v>527</v>
      </c>
      <c r="M276" s="31"/>
      <c r="N276" s="31"/>
      <c r="O276" s="31"/>
      <c r="P276" s="32"/>
      <c r="Q276" s="32"/>
      <c r="R276" s="31"/>
      <c r="S276" s="31"/>
    </row>
    <row r="277" spans="1:19" x14ac:dyDescent="0.25">
      <c r="A277" s="31"/>
      <c r="B277" s="31" t="s">
        <v>152</v>
      </c>
      <c r="C277" s="156"/>
      <c r="D277" s="33" t="s">
        <v>555</v>
      </c>
      <c r="E277" s="32">
        <v>28</v>
      </c>
      <c r="F277" s="32"/>
      <c r="G277" s="32"/>
      <c r="H277" s="26">
        <v>1</v>
      </c>
      <c r="I277" s="31"/>
      <c r="J277" s="31" t="s">
        <v>162</v>
      </c>
      <c r="K277" s="31" t="s">
        <v>556</v>
      </c>
      <c r="L277" s="74" t="s">
        <v>557</v>
      </c>
      <c r="M277" s="31"/>
      <c r="N277" s="31"/>
      <c r="O277" s="31"/>
      <c r="P277" s="32"/>
      <c r="Q277" s="32"/>
      <c r="R277" s="31"/>
      <c r="S277" s="31"/>
    </row>
    <row r="278" spans="1:19" x14ac:dyDescent="0.25">
      <c r="A278" s="31"/>
      <c r="B278" s="31" t="s">
        <v>152</v>
      </c>
      <c r="C278" s="156"/>
      <c r="D278" s="33" t="s">
        <v>558</v>
      </c>
      <c r="E278" s="32">
        <v>54</v>
      </c>
      <c r="F278" s="32"/>
      <c r="G278" s="32"/>
      <c r="H278" s="26">
        <v>1</v>
      </c>
      <c r="I278" s="31"/>
      <c r="J278" s="31" t="s">
        <v>162</v>
      </c>
      <c r="K278" s="31" t="s">
        <v>559</v>
      </c>
      <c r="L278" s="74" t="s">
        <v>560</v>
      </c>
      <c r="M278" s="31"/>
      <c r="N278" s="31"/>
      <c r="O278" s="31"/>
      <c r="P278" s="32"/>
      <c r="Q278" s="32"/>
      <c r="R278" s="31"/>
      <c r="S278" s="31"/>
    </row>
    <row r="279" spans="1:19" x14ac:dyDescent="0.25">
      <c r="A279" s="31"/>
      <c r="B279" s="31" t="s">
        <v>152</v>
      </c>
      <c r="C279" s="156"/>
      <c r="D279" s="33" t="s">
        <v>561</v>
      </c>
      <c r="E279" s="32">
        <v>7</v>
      </c>
      <c r="F279" s="32"/>
      <c r="G279" s="32"/>
      <c r="H279" s="26">
        <v>1</v>
      </c>
      <c r="I279" s="31"/>
      <c r="J279" s="31" t="s">
        <v>162</v>
      </c>
      <c r="K279" s="31" t="s">
        <v>93</v>
      </c>
      <c r="L279" s="31" t="s">
        <v>562</v>
      </c>
      <c r="M279" s="31"/>
      <c r="N279" s="31"/>
      <c r="O279" s="31"/>
      <c r="P279" s="32"/>
      <c r="Q279" s="32"/>
      <c r="R279" s="31"/>
      <c r="S279" s="31"/>
    </row>
    <row r="280" spans="1:19" x14ac:dyDescent="0.25">
      <c r="A280" s="31"/>
      <c r="B280" s="31" t="s">
        <v>152</v>
      </c>
      <c r="C280" s="156"/>
      <c r="D280" s="33" t="s">
        <v>563</v>
      </c>
      <c r="E280" s="32">
        <v>17</v>
      </c>
      <c r="F280" s="32"/>
      <c r="G280" s="32"/>
      <c r="H280" s="26">
        <v>1</v>
      </c>
      <c r="I280" s="31"/>
      <c r="J280" s="31" t="s">
        <v>162</v>
      </c>
      <c r="K280" s="31" t="s">
        <v>564</v>
      </c>
      <c r="L280" s="74" t="s">
        <v>527</v>
      </c>
      <c r="M280" s="31"/>
      <c r="N280" s="31"/>
      <c r="O280" s="31"/>
      <c r="P280" s="32"/>
      <c r="Q280" s="32"/>
      <c r="R280" s="31"/>
      <c r="S280" s="31"/>
    </row>
    <row r="281" spans="1:19" x14ac:dyDescent="0.25">
      <c r="A281" s="31"/>
      <c r="B281" s="31" t="s">
        <v>218</v>
      </c>
      <c r="C281" s="156"/>
      <c r="D281" s="53" t="s">
        <v>565</v>
      </c>
      <c r="E281" s="54"/>
      <c r="F281" s="54">
        <v>317</v>
      </c>
      <c r="G281" s="54"/>
      <c r="H281" s="41">
        <v>26</v>
      </c>
      <c r="I281" s="31"/>
      <c r="J281" s="31" t="s">
        <v>221</v>
      </c>
      <c r="K281" s="31" t="s">
        <v>566</v>
      </c>
      <c r="L281" s="31" t="s">
        <v>159</v>
      </c>
      <c r="M281" s="31"/>
      <c r="N281" s="59" t="s">
        <v>160</v>
      </c>
      <c r="O281" s="31"/>
      <c r="P281" s="32"/>
      <c r="Q281" s="32"/>
      <c r="R281" s="31"/>
      <c r="S281" s="31"/>
    </row>
    <row r="282" spans="1:19" x14ac:dyDescent="0.25">
      <c r="A282" s="31"/>
      <c r="B282" s="31" t="s">
        <v>152</v>
      </c>
      <c r="C282" s="32" t="s">
        <v>567</v>
      </c>
      <c r="D282" s="33" t="s">
        <v>568</v>
      </c>
      <c r="E282" s="32">
        <v>4</v>
      </c>
      <c r="F282" s="32"/>
      <c r="G282" s="32"/>
      <c r="H282" s="26">
        <v>1</v>
      </c>
      <c r="I282" s="31"/>
      <c r="J282" s="31" t="s">
        <v>162</v>
      </c>
      <c r="K282" s="31"/>
      <c r="L282" s="31"/>
      <c r="M282" s="31"/>
      <c r="N282" s="31"/>
      <c r="O282" s="31"/>
      <c r="P282" s="32"/>
      <c r="Q282" s="32"/>
      <c r="R282" s="31"/>
      <c r="S282" s="31"/>
    </row>
    <row r="283" spans="1:19" x14ac:dyDescent="0.25">
      <c r="A283" s="31"/>
      <c r="B283" s="37">
        <v>2015</v>
      </c>
      <c r="C283" s="54" t="s">
        <v>96</v>
      </c>
      <c r="D283" s="53" t="s">
        <v>96</v>
      </c>
      <c r="E283" s="54"/>
      <c r="F283" s="54">
        <v>179</v>
      </c>
      <c r="G283" s="54"/>
      <c r="H283" s="41">
        <v>2</v>
      </c>
      <c r="I283" s="31"/>
      <c r="J283" s="31"/>
      <c r="K283" s="31" t="s">
        <v>97</v>
      </c>
      <c r="L283" s="31" t="s">
        <v>217</v>
      </c>
      <c r="M283" s="31"/>
      <c r="N283" s="59" t="s">
        <v>160</v>
      </c>
      <c r="O283" s="31"/>
      <c r="P283" s="32"/>
      <c r="Q283" s="32"/>
      <c r="R283" s="31"/>
      <c r="S283" s="31"/>
    </row>
    <row r="284" spans="1:19" x14ac:dyDescent="0.25">
      <c r="A284" s="31"/>
      <c r="B284" s="31" t="s">
        <v>218</v>
      </c>
      <c r="C284" s="135" t="s">
        <v>569</v>
      </c>
      <c r="D284" s="77" t="s">
        <v>569</v>
      </c>
      <c r="E284" s="78"/>
      <c r="F284" s="78">
        <v>24</v>
      </c>
      <c r="G284" s="78">
        <v>39</v>
      </c>
      <c r="H284" s="76">
        <v>2</v>
      </c>
      <c r="I284" s="31"/>
      <c r="J284" s="31" t="s">
        <v>221</v>
      </c>
      <c r="K284" s="31" t="s">
        <v>570</v>
      </c>
      <c r="L284" s="31" t="s">
        <v>159</v>
      </c>
      <c r="M284" s="31"/>
      <c r="N284" s="59" t="s">
        <v>160</v>
      </c>
      <c r="O284" s="31"/>
      <c r="P284" s="32"/>
      <c r="Q284" s="32"/>
      <c r="R284" s="31"/>
      <c r="S284" s="31"/>
    </row>
    <row r="285" spans="1:19" x14ac:dyDescent="0.25">
      <c r="A285" s="31"/>
      <c r="B285" s="31" t="s">
        <v>149</v>
      </c>
      <c r="C285" s="136"/>
      <c r="D285" s="33" t="s">
        <v>571</v>
      </c>
      <c r="E285" s="32">
        <v>38</v>
      </c>
      <c r="F285" s="32"/>
      <c r="G285" s="32"/>
      <c r="H285" s="26"/>
      <c r="I285" s="31"/>
      <c r="J285" s="31"/>
      <c r="K285" s="31"/>
      <c r="L285" s="31"/>
      <c r="M285" s="31"/>
      <c r="N285" s="31"/>
      <c r="O285" s="31"/>
      <c r="P285" s="32"/>
      <c r="Q285" s="32"/>
      <c r="R285" s="31"/>
      <c r="S285" s="31"/>
    </row>
    <row r="286" spans="1:19" x14ac:dyDescent="0.25">
      <c r="A286" s="31"/>
      <c r="B286" s="31" t="s">
        <v>152</v>
      </c>
      <c r="C286" s="136"/>
      <c r="D286" s="33" t="s">
        <v>572</v>
      </c>
      <c r="E286" s="32"/>
      <c r="F286" s="32">
        <v>566</v>
      </c>
      <c r="G286" s="139">
        <v>1024</v>
      </c>
      <c r="H286" s="26">
        <v>31</v>
      </c>
      <c r="I286" s="31"/>
      <c r="J286" s="31" t="s">
        <v>162</v>
      </c>
      <c r="K286" s="31" t="s">
        <v>570</v>
      </c>
      <c r="L286" s="31" t="s">
        <v>159</v>
      </c>
      <c r="M286" s="31" t="s">
        <v>227</v>
      </c>
      <c r="N286" s="30" t="s">
        <v>193</v>
      </c>
      <c r="O286" s="31"/>
      <c r="P286" s="139">
        <v>887</v>
      </c>
      <c r="Q286" s="139">
        <f>G286-P286</f>
        <v>137</v>
      </c>
      <c r="R286" s="31"/>
      <c r="S286" s="31"/>
    </row>
    <row r="287" spans="1:19" x14ac:dyDescent="0.25">
      <c r="A287" s="31"/>
      <c r="B287" s="31" t="s">
        <v>152</v>
      </c>
      <c r="C287" s="136"/>
      <c r="D287" s="33" t="s">
        <v>573</v>
      </c>
      <c r="E287" s="32">
        <v>48</v>
      </c>
      <c r="F287" s="32"/>
      <c r="G287" s="140"/>
      <c r="H287" s="26"/>
      <c r="I287" s="31"/>
      <c r="J287" s="31" t="s">
        <v>162</v>
      </c>
      <c r="K287" s="31" t="s">
        <v>570</v>
      </c>
      <c r="L287" s="31" t="s">
        <v>159</v>
      </c>
      <c r="M287" s="31" t="s">
        <v>227</v>
      </c>
      <c r="N287" s="59" t="s">
        <v>160</v>
      </c>
      <c r="O287" s="31"/>
      <c r="P287" s="140"/>
      <c r="Q287" s="140"/>
      <c r="R287" s="31"/>
      <c r="S287" s="31"/>
    </row>
    <row r="288" spans="1:19" x14ac:dyDescent="0.25">
      <c r="A288" s="31"/>
      <c r="B288" s="31" t="s">
        <v>152</v>
      </c>
      <c r="C288" s="136"/>
      <c r="D288" s="33" t="s">
        <v>574</v>
      </c>
      <c r="E288" s="32">
        <v>59</v>
      </c>
      <c r="F288" s="32"/>
      <c r="G288" s="140"/>
      <c r="H288" s="26"/>
      <c r="I288" s="31"/>
      <c r="J288" s="31" t="s">
        <v>162</v>
      </c>
      <c r="K288" s="31" t="s">
        <v>570</v>
      </c>
      <c r="L288" s="31" t="s">
        <v>159</v>
      </c>
      <c r="M288" s="31" t="s">
        <v>227</v>
      </c>
      <c r="N288" s="59" t="s">
        <v>160</v>
      </c>
      <c r="O288" s="31"/>
      <c r="P288" s="140"/>
      <c r="Q288" s="140"/>
      <c r="R288" s="31"/>
      <c r="S288" s="31"/>
    </row>
    <row r="289" spans="1:19" x14ac:dyDescent="0.25">
      <c r="A289" s="31"/>
      <c r="B289" s="31" t="s">
        <v>152</v>
      </c>
      <c r="C289" s="136"/>
      <c r="D289" s="33" t="s">
        <v>575</v>
      </c>
      <c r="E289" s="32"/>
      <c r="F289" s="32">
        <v>219</v>
      </c>
      <c r="G289" s="140"/>
      <c r="H289" s="26">
        <v>6</v>
      </c>
      <c r="I289" s="31"/>
      <c r="J289" s="31" t="s">
        <v>162</v>
      </c>
      <c r="K289" s="31" t="s">
        <v>570</v>
      </c>
      <c r="L289" s="31" t="s">
        <v>159</v>
      </c>
      <c r="M289" s="31" t="s">
        <v>227</v>
      </c>
      <c r="N289" s="59" t="s">
        <v>160</v>
      </c>
      <c r="O289" s="31"/>
      <c r="P289" s="140"/>
      <c r="Q289" s="140"/>
      <c r="R289" s="31"/>
      <c r="S289" s="31"/>
    </row>
    <row r="290" spans="1:19" x14ac:dyDescent="0.25">
      <c r="A290" s="31"/>
      <c r="B290" s="31" t="s">
        <v>152</v>
      </c>
      <c r="C290" s="136"/>
      <c r="D290" s="33" t="s">
        <v>576</v>
      </c>
      <c r="E290" s="32">
        <v>57</v>
      </c>
      <c r="F290" s="32"/>
      <c r="G290" s="140"/>
      <c r="H290" s="26"/>
      <c r="I290" s="31"/>
      <c r="J290" s="31" t="s">
        <v>162</v>
      </c>
      <c r="K290" s="31" t="s">
        <v>570</v>
      </c>
      <c r="L290" s="31" t="s">
        <v>159</v>
      </c>
      <c r="M290" s="31" t="s">
        <v>227</v>
      </c>
      <c r="N290" s="59" t="s">
        <v>160</v>
      </c>
      <c r="O290" s="31"/>
      <c r="P290" s="140"/>
      <c r="Q290" s="140"/>
      <c r="R290" s="31"/>
      <c r="S290" s="31"/>
    </row>
    <row r="291" spans="1:19" x14ac:dyDescent="0.25">
      <c r="A291" s="31"/>
      <c r="B291" s="31" t="s">
        <v>152</v>
      </c>
      <c r="C291" s="136"/>
      <c r="D291" s="33" t="s">
        <v>577</v>
      </c>
      <c r="E291" s="32">
        <v>40</v>
      </c>
      <c r="F291" s="32"/>
      <c r="G291" s="141"/>
      <c r="H291" s="26"/>
      <c r="I291" s="31"/>
      <c r="J291" s="31" t="s">
        <v>162</v>
      </c>
      <c r="K291" s="31" t="s">
        <v>570</v>
      </c>
      <c r="L291" s="31" t="s">
        <v>159</v>
      </c>
      <c r="M291" s="31" t="s">
        <v>227</v>
      </c>
      <c r="N291" s="59" t="s">
        <v>160</v>
      </c>
      <c r="O291" s="31"/>
      <c r="P291" s="141"/>
      <c r="Q291" s="141"/>
      <c r="R291" s="31"/>
      <c r="S291" s="31"/>
    </row>
    <row r="292" spans="1:19" x14ac:dyDescent="0.25">
      <c r="A292" s="31"/>
      <c r="B292" s="31" t="s">
        <v>164</v>
      </c>
      <c r="C292" s="136"/>
      <c r="D292" s="33" t="s">
        <v>578</v>
      </c>
      <c r="E292" s="32"/>
      <c r="F292" s="32">
        <v>215</v>
      </c>
      <c r="G292" s="32"/>
      <c r="H292" s="26">
        <v>16</v>
      </c>
      <c r="I292" s="31"/>
      <c r="J292" s="31" t="s">
        <v>166</v>
      </c>
      <c r="K292" s="31" t="s">
        <v>569</v>
      </c>
      <c r="L292" s="31"/>
      <c r="M292" s="31"/>
      <c r="N292" s="59" t="s">
        <v>160</v>
      </c>
      <c r="O292" s="31"/>
      <c r="P292" s="32"/>
      <c r="Q292" s="32"/>
      <c r="R292" s="31"/>
      <c r="S292" s="31"/>
    </row>
    <row r="293" spans="1:19" x14ac:dyDescent="0.25">
      <c r="A293" s="31"/>
      <c r="B293" s="31" t="s">
        <v>164</v>
      </c>
      <c r="C293" s="136"/>
      <c r="D293" s="53" t="s">
        <v>579</v>
      </c>
      <c r="E293" s="54"/>
      <c r="F293" s="54">
        <v>1133</v>
      </c>
      <c r="G293" s="54">
        <v>264</v>
      </c>
      <c r="H293" s="41">
        <v>54</v>
      </c>
      <c r="I293" s="31"/>
      <c r="J293" s="31" t="s">
        <v>166</v>
      </c>
      <c r="K293" s="31" t="s">
        <v>569</v>
      </c>
      <c r="L293" s="31"/>
      <c r="M293" s="31"/>
      <c r="N293" s="59" t="s">
        <v>160</v>
      </c>
      <c r="O293" s="31"/>
      <c r="P293" s="32">
        <v>306</v>
      </c>
      <c r="Q293" s="46">
        <f>G293-P293</f>
        <v>-42</v>
      </c>
      <c r="R293" s="31"/>
      <c r="S293" s="31"/>
    </row>
    <row r="294" spans="1:19" x14ac:dyDescent="0.25">
      <c r="A294" s="31"/>
      <c r="B294" s="31" t="s">
        <v>164</v>
      </c>
      <c r="C294" s="136"/>
      <c r="D294" s="33" t="s">
        <v>580</v>
      </c>
      <c r="E294" s="32"/>
      <c r="F294" s="32">
        <v>69</v>
      </c>
      <c r="G294" s="32"/>
      <c r="H294" s="26">
        <v>6</v>
      </c>
      <c r="I294" s="31"/>
      <c r="J294" s="31" t="s">
        <v>166</v>
      </c>
      <c r="K294" s="31" t="s">
        <v>569</v>
      </c>
      <c r="L294" s="31"/>
      <c r="M294" s="31"/>
      <c r="N294" s="59" t="s">
        <v>160</v>
      </c>
      <c r="O294" s="31"/>
      <c r="P294" s="32"/>
      <c r="Q294" s="32"/>
      <c r="R294" s="31"/>
      <c r="S294" s="31"/>
    </row>
    <row r="295" spans="1:19" x14ac:dyDescent="0.25">
      <c r="A295" s="31"/>
      <c r="B295" s="31" t="s">
        <v>164</v>
      </c>
      <c r="C295" s="136"/>
      <c r="D295" s="33" t="s">
        <v>581</v>
      </c>
      <c r="E295" s="39"/>
      <c r="F295" s="39">
        <v>185</v>
      </c>
      <c r="G295" s="39"/>
      <c r="H295" s="72">
        <v>12</v>
      </c>
      <c r="I295" s="31"/>
      <c r="J295" s="31" t="s">
        <v>166</v>
      </c>
      <c r="K295" s="31" t="s">
        <v>569</v>
      </c>
      <c r="L295" s="31"/>
      <c r="M295" s="31"/>
      <c r="N295" s="59" t="s">
        <v>160</v>
      </c>
      <c r="O295" s="31"/>
      <c r="P295" s="32"/>
      <c r="Q295" s="32"/>
      <c r="R295" s="31"/>
      <c r="S295" s="31"/>
    </row>
    <row r="296" spans="1:19" x14ac:dyDescent="0.25">
      <c r="A296" s="31"/>
      <c r="B296" s="31" t="s">
        <v>164</v>
      </c>
      <c r="C296" s="32" t="s">
        <v>582</v>
      </c>
      <c r="D296" s="33" t="s">
        <v>583</v>
      </c>
      <c r="E296" s="39"/>
      <c r="F296" s="39">
        <v>1805</v>
      </c>
      <c r="G296" s="39"/>
      <c r="H296" s="72">
        <v>115</v>
      </c>
      <c r="I296" s="31"/>
      <c r="J296" s="31" t="s">
        <v>166</v>
      </c>
      <c r="K296" s="31" t="s">
        <v>582</v>
      </c>
      <c r="L296" s="31"/>
      <c r="M296" s="31"/>
      <c r="N296" s="59" t="s">
        <v>160</v>
      </c>
      <c r="O296" s="31"/>
      <c r="P296" s="32"/>
      <c r="Q296" s="32"/>
      <c r="R296" s="31"/>
      <c r="S296" s="31"/>
    </row>
    <row r="297" spans="1:19" x14ac:dyDescent="0.25">
      <c r="A297" s="31"/>
      <c r="B297" s="31" t="s">
        <v>164</v>
      </c>
      <c r="C297" s="32" t="s">
        <v>584</v>
      </c>
      <c r="D297" s="33" t="s">
        <v>585</v>
      </c>
      <c r="E297" s="32">
        <v>8</v>
      </c>
      <c r="F297" s="32"/>
      <c r="G297" s="32"/>
      <c r="H297" s="26">
        <v>1</v>
      </c>
      <c r="I297" s="31"/>
      <c r="J297" s="31" t="s">
        <v>166</v>
      </c>
      <c r="K297" s="31"/>
      <c r="L297" s="31"/>
      <c r="M297" s="31"/>
      <c r="N297" s="59" t="s">
        <v>160</v>
      </c>
      <c r="O297" s="31"/>
      <c r="P297" s="32"/>
      <c r="Q297" s="32"/>
      <c r="R297" s="31"/>
      <c r="S297" s="31"/>
    </row>
    <row r="298" spans="1:19" x14ac:dyDescent="0.25">
      <c r="A298" s="31"/>
      <c r="B298" s="31" t="s">
        <v>149</v>
      </c>
      <c r="C298" s="148" t="s">
        <v>586</v>
      </c>
      <c r="D298" s="33" t="s">
        <v>587</v>
      </c>
      <c r="E298" s="32">
        <v>32</v>
      </c>
      <c r="F298" s="32"/>
      <c r="G298" s="32"/>
      <c r="H298" s="26">
        <v>1</v>
      </c>
      <c r="I298" s="31"/>
      <c r="J298" s="31"/>
      <c r="K298" s="31"/>
      <c r="L298" s="31"/>
      <c r="M298" s="31"/>
      <c r="N298" s="31"/>
      <c r="O298" s="31"/>
      <c r="P298" s="32"/>
      <c r="Q298" s="32"/>
      <c r="R298" s="31"/>
      <c r="S298" s="31"/>
    </row>
    <row r="299" spans="1:19" x14ac:dyDescent="0.25">
      <c r="A299" s="31"/>
      <c r="B299" s="31" t="s">
        <v>152</v>
      </c>
      <c r="C299" s="148"/>
      <c r="D299" s="53" t="s">
        <v>588</v>
      </c>
      <c r="E299" s="54"/>
      <c r="F299" s="54">
        <v>431</v>
      </c>
      <c r="G299" s="54"/>
      <c r="H299" s="41">
        <v>4</v>
      </c>
      <c r="I299" s="31"/>
      <c r="J299" s="31" t="s">
        <v>162</v>
      </c>
      <c r="K299" s="31"/>
      <c r="L299" s="31"/>
      <c r="M299" s="31" t="s">
        <v>589</v>
      </c>
      <c r="N299" s="30" t="s">
        <v>193</v>
      </c>
      <c r="O299" s="31"/>
      <c r="P299" s="32"/>
      <c r="Q299" s="32"/>
      <c r="R299" s="31"/>
      <c r="S299" s="31"/>
    </row>
    <row r="300" spans="1:19" x14ac:dyDescent="0.25">
      <c r="A300" s="31"/>
      <c r="B300" s="31" t="s">
        <v>152</v>
      </c>
      <c r="C300" s="148"/>
      <c r="D300" s="53" t="s">
        <v>590</v>
      </c>
      <c r="E300" s="54"/>
      <c r="F300" s="54">
        <v>1314</v>
      </c>
      <c r="G300" s="54"/>
      <c r="H300" s="41">
        <v>55</v>
      </c>
      <c r="I300" s="31"/>
      <c r="J300" s="31" t="s">
        <v>162</v>
      </c>
      <c r="K300" s="31"/>
      <c r="L300" s="31"/>
      <c r="M300" s="31"/>
      <c r="N300" s="59" t="s">
        <v>160</v>
      </c>
      <c r="O300" s="31"/>
      <c r="P300" s="32"/>
      <c r="Q300" s="32"/>
      <c r="R300" s="31"/>
      <c r="S300" s="31"/>
    </row>
    <row r="305" spans="7:17" customFormat="1" x14ac:dyDescent="0.25">
      <c r="G305" s="24"/>
      <c r="P305" s="24"/>
      <c r="Q305" s="24"/>
    </row>
  </sheetData>
  <mergeCells count="73">
    <mergeCell ref="C284:C295"/>
    <mergeCell ref="G286:G291"/>
    <mergeCell ref="P286:P291"/>
    <mergeCell ref="Q286:Q291"/>
    <mergeCell ref="C298:C300"/>
    <mergeCell ref="C261:C281"/>
    <mergeCell ref="C200:C204"/>
    <mergeCell ref="C207:C208"/>
    <mergeCell ref="C209:C222"/>
    <mergeCell ref="G210:G212"/>
    <mergeCell ref="C225:C228"/>
    <mergeCell ref="C229:C232"/>
    <mergeCell ref="C234:C247"/>
    <mergeCell ref="C250:C251"/>
    <mergeCell ref="C252:C253"/>
    <mergeCell ref="P210:P212"/>
    <mergeCell ref="Q210:Q212"/>
    <mergeCell ref="C181:C182"/>
    <mergeCell ref="C183:C184"/>
    <mergeCell ref="C185:C188"/>
    <mergeCell ref="C189:C191"/>
    <mergeCell ref="C192:C195"/>
    <mergeCell ref="C197:C199"/>
    <mergeCell ref="C175:C180"/>
    <mergeCell ref="C136:C137"/>
    <mergeCell ref="C142:C148"/>
    <mergeCell ref="G146:G147"/>
    <mergeCell ref="P146:P147"/>
    <mergeCell ref="C152:C153"/>
    <mergeCell ref="C154:C155"/>
    <mergeCell ref="C157:C158"/>
    <mergeCell ref="C159:C160"/>
    <mergeCell ref="C164:C174"/>
    <mergeCell ref="Q146:Q147"/>
    <mergeCell ref="C149:C150"/>
    <mergeCell ref="C105:C106"/>
    <mergeCell ref="C108:C120"/>
    <mergeCell ref="G108:G109"/>
    <mergeCell ref="P108:P109"/>
    <mergeCell ref="Q108:Q109"/>
    <mergeCell ref="C121:C124"/>
    <mergeCell ref="C102:C104"/>
    <mergeCell ref="C70:C71"/>
    <mergeCell ref="C72:C80"/>
    <mergeCell ref="G72:G74"/>
    <mergeCell ref="P72:P74"/>
    <mergeCell ref="C81:C82"/>
    <mergeCell ref="C83:C84"/>
    <mergeCell ref="C85:C88"/>
    <mergeCell ref="C90:C93"/>
    <mergeCell ref="C95:C101"/>
    <mergeCell ref="Q72:Q74"/>
    <mergeCell ref="G76:G80"/>
    <mergeCell ref="P76:P80"/>
    <mergeCell ref="Q76:Q80"/>
    <mergeCell ref="C46:C47"/>
    <mergeCell ref="C49:C50"/>
    <mergeCell ref="C51:C56"/>
    <mergeCell ref="C61:C62"/>
    <mergeCell ref="C64:C65"/>
    <mergeCell ref="C66:C67"/>
    <mergeCell ref="C44:C45"/>
    <mergeCell ref="C1:D1"/>
    <mergeCell ref="C2:C3"/>
    <mergeCell ref="A4:A5"/>
    <mergeCell ref="C4:C6"/>
    <mergeCell ref="C8:C9"/>
    <mergeCell ref="C15:C16"/>
    <mergeCell ref="C17:C18"/>
    <mergeCell ref="A26:A27"/>
    <mergeCell ref="C26:C28"/>
    <mergeCell ref="C38:C39"/>
    <mergeCell ref="C42:C43"/>
  </mergeCells>
  <conditionalFormatting sqref="B4:C4 B47 B62 B67 B282 B17 B297 B9 B29:B32 B38 B251:B259 B218 B220 B222:B224 B215:B216 B209 B213">
    <cfRule type="expression" dxfId="1503" priority="1448">
      <formula>"P7 (2016)"</formula>
    </cfRule>
  </conditionalFormatting>
  <conditionalFormatting sqref="B4:C4 B47 B62 B67 B282 B17 B297 B9 B29:B32 B38 B251:B259 B218 B220 B222:B224 B215:B216 B209 B213">
    <cfRule type="containsText" dxfId="1502" priority="1441" operator="containsText" text="P7 (2016)">
      <formula>NOT(ISERROR(SEARCH("P7 (2016)",B4)))</formula>
    </cfRule>
    <cfRule type="containsText" dxfId="1501" priority="1442" operator="containsText" text="NP">
      <formula>NOT(ISERROR(SEARCH("NP",B4)))</formula>
    </cfRule>
    <cfRule type="containsText" dxfId="1500" priority="1443" operator="containsText" text="P7 (2015/ON HILL)">
      <formula>NOT(ISERROR(SEARCH("P7 (2015/ON HILL)",B4)))</formula>
    </cfRule>
    <cfRule type="containsText" dxfId="1499" priority="1444" operator="containsText" text="M (2015/NURSERY)">
      <formula>NOT(ISERROR(SEARCH("M (2015/NURSERY)",B4)))</formula>
    </cfRule>
    <cfRule type="containsText" dxfId="1498" priority="1445" operator="containsText" text="M (2016/PLOT3)">
      <formula>NOT(ISERROR(SEARCH("M (2016/PLOT3)",B4)))</formula>
    </cfRule>
    <cfRule type="containsText" dxfId="1497" priority="1446" operator="containsText" text="M (2017)">
      <formula>NOT(ISERROR(SEARCH("M (2017)",B4)))</formula>
    </cfRule>
    <cfRule type="containsText" dxfId="1496" priority="1447" operator="containsText" text="P1 (2017)">
      <formula>NOT(ISERROR(SEARCH("P1 (2017)",B4)))</formula>
    </cfRule>
  </conditionalFormatting>
  <conditionalFormatting sqref="B5:B24">
    <cfRule type="expression" dxfId="1495" priority="1433">
      <formula>"P7 (2016)"</formula>
    </cfRule>
  </conditionalFormatting>
  <conditionalFormatting sqref="B5:B24">
    <cfRule type="containsText" dxfId="1494" priority="1426" operator="containsText" text="P7 (2016)">
      <formula>NOT(ISERROR(SEARCH("P7 (2016)",B5)))</formula>
    </cfRule>
    <cfRule type="containsText" dxfId="1493" priority="1427" operator="containsText" text="NP">
      <formula>NOT(ISERROR(SEARCH("NP",B5)))</formula>
    </cfRule>
    <cfRule type="containsText" dxfId="1492" priority="1428" operator="containsText" text="P7 (2015/ON HILL)">
      <formula>NOT(ISERROR(SEARCH("P7 (2015/ON HILL)",B5)))</formula>
    </cfRule>
    <cfRule type="containsText" dxfId="1491" priority="1429" operator="containsText" text="M (2015/NURSERY)">
      <formula>NOT(ISERROR(SEARCH("M (2015/NURSERY)",B5)))</formula>
    </cfRule>
    <cfRule type="containsText" dxfId="1490" priority="1430" operator="containsText" text="M (2016/PLOT3)">
      <formula>NOT(ISERROR(SEARCH("M (2016/PLOT3)",B5)))</formula>
    </cfRule>
    <cfRule type="containsText" dxfId="1489" priority="1431" operator="containsText" text="M (2017)">
      <formula>NOT(ISERROR(SEARCH("M (2017)",B5)))</formula>
    </cfRule>
    <cfRule type="containsText" dxfId="1488" priority="1432" operator="containsText" text="P1 (2017)">
      <formula>NOT(ISERROR(SEARCH("P1 (2017)",B5)))</formula>
    </cfRule>
  </conditionalFormatting>
  <conditionalFormatting sqref="B16">
    <cfRule type="expression" dxfId="1487" priority="1425">
      <formula>"P7 (2016)"</formula>
    </cfRule>
  </conditionalFormatting>
  <conditionalFormatting sqref="B16">
    <cfRule type="containsText" dxfId="1486" priority="1418" operator="containsText" text="P7 (2016)">
      <formula>NOT(ISERROR(SEARCH("P7 (2016)",B16)))</formula>
    </cfRule>
    <cfRule type="containsText" dxfId="1485" priority="1419" operator="containsText" text="NP">
      <formula>NOT(ISERROR(SEARCH("NP",B16)))</formula>
    </cfRule>
    <cfRule type="containsText" dxfId="1484" priority="1420" operator="containsText" text="P7 (2015/ON HILL)">
      <formula>NOT(ISERROR(SEARCH("P7 (2015/ON HILL)",B16)))</formula>
    </cfRule>
    <cfRule type="containsText" dxfId="1483" priority="1421" operator="containsText" text="M (2015/NURSERY)">
      <formula>NOT(ISERROR(SEARCH("M (2015/NURSERY)",B16)))</formula>
    </cfRule>
    <cfRule type="containsText" dxfId="1482" priority="1422" operator="containsText" text="M (2016/PLOT3)">
      <formula>NOT(ISERROR(SEARCH("M (2016/PLOT3)",B16)))</formula>
    </cfRule>
    <cfRule type="containsText" dxfId="1481" priority="1423" operator="containsText" text="M (2017)">
      <formula>NOT(ISERROR(SEARCH("M (2017)",B16)))</formula>
    </cfRule>
    <cfRule type="containsText" dxfId="1480" priority="1424" operator="containsText" text="P1 (2017)">
      <formula>NOT(ISERROR(SEARCH("P1 (2017)",B16)))</formula>
    </cfRule>
  </conditionalFormatting>
  <conditionalFormatting sqref="B2">
    <cfRule type="expression" dxfId="1479" priority="1417">
      <formula>"P7 (2016)"</formula>
    </cfRule>
  </conditionalFormatting>
  <conditionalFormatting sqref="B2">
    <cfRule type="containsText" dxfId="1478" priority="1416" operator="containsText" text="P7 (2016)">
      <formula>NOT(ISERROR(SEARCH("P7 (2016)",B2)))</formula>
    </cfRule>
  </conditionalFormatting>
  <conditionalFormatting sqref="B2">
    <cfRule type="containsText" dxfId="1477" priority="1409" operator="containsText" text="P7 (2016)">
      <formula>NOT(ISERROR(SEARCH("P7 (2016)",B2)))</formula>
    </cfRule>
    <cfRule type="containsText" dxfId="1476" priority="1410" operator="containsText" text="NP">
      <formula>NOT(ISERROR(SEARCH("NP",B2)))</formula>
    </cfRule>
    <cfRule type="containsText" dxfId="1475" priority="1411" operator="containsText" text="P7 (2015/ON HILL)">
      <formula>NOT(ISERROR(SEARCH("P7 (2015/ON HILL)",B2)))</formula>
    </cfRule>
    <cfRule type="containsText" dxfId="1474" priority="1412" operator="containsText" text="M (2015/NURSERY)">
      <formula>NOT(ISERROR(SEARCH("M (2015/NURSERY)",B2)))</formula>
    </cfRule>
    <cfRule type="containsText" dxfId="1473" priority="1413" operator="containsText" text="M (2016/PLOT3)">
      <formula>NOT(ISERROR(SEARCH("M (2016/PLOT3)",B2)))</formula>
    </cfRule>
    <cfRule type="containsText" dxfId="1472" priority="1414" operator="containsText" text="M (2017)">
      <formula>NOT(ISERROR(SEARCH("M (2017)",B2)))</formula>
    </cfRule>
    <cfRule type="containsText" dxfId="1471" priority="1415" operator="containsText" text="P1 (2017)">
      <formula>NOT(ISERROR(SEARCH("P1 (2017)",B2)))</formula>
    </cfRule>
  </conditionalFormatting>
  <conditionalFormatting sqref="B25">
    <cfRule type="expression" dxfId="1470" priority="1408">
      <formula>"P7 (2016)"</formula>
    </cfRule>
  </conditionalFormatting>
  <conditionalFormatting sqref="B25">
    <cfRule type="containsText" dxfId="1469" priority="1401" operator="containsText" text="P7 (2016)">
      <formula>NOT(ISERROR(SEARCH("P7 (2016)",B25)))</formula>
    </cfRule>
    <cfRule type="containsText" dxfId="1468" priority="1402" operator="containsText" text="NP">
      <formula>NOT(ISERROR(SEARCH("NP",B25)))</formula>
    </cfRule>
    <cfRule type="containsText" dxfId="1467" priority="1403" operator="containsText" text="P7 (2015/ON HILL)">
      <formula>NOT(ISERROR(SEARCH("P7 (2015/ON HILL)",B25)))</formula>
    </cfRule>
    <cfRule type="containsText" dxfId="1466" priority="1404" operator="containsText" text="M (2015/NURSERY)">
      <formula>NOT(ISERROR(SEARCH("M (2015/NURSERY)",B25)))</formula>
    </cfRule>
    <cfRule type="containsText" dxfId="1465" priority="1405" operator="containsText" text="M (2016/PLOT3)">
      <formula>NOT(ISERROR(SEARCH("M (2016/PLOT3)",B25)))</formula>
    </cfRule>
    <cfRule type="containsText" dxfId="1464" priority="1406" operator="containsText" text="M (2017)">
      <formula>NOT(ISERROR(SEARCH("M (2017)",B25)))</formula>
    </cfRule>
    <cfRule type="containsText" dxfId="1463" priority="1407" operator="containsText" text="P1 (2017)">
      <formula>NOT(ISERROR(SEARCH("P1 (2017)",B25)))</formula>
    </cfRule>
  </conditionalFormatting>
  <conditionalFormatting sqref="B26">
    <cfRule type="expression" dxfId="1462" priority="1400">
      <formula>"P7 (2016)"</formula>
    </cfRule>
  </conditionalFormatting>
  <conditionalFormatting sqref="B26">
    <cfRule type="containsText" dxfId="1461" priority="1393" operator="containsText" text="P7 (2016)">
      <formula>NOT(ISERROR(SEARCH("P7 (2016)",B26)))</formula>
    </cfRule>
    <cfRule type="containsText" dxfId="1460" priority="1394" operator="containsText" text="NP">
      <formula>NOT(ISERROR(SEARCH("NP",B26)))</formula>
    </cfRule>
    <cfRule type="containsText" dxfId="1459" priority="1395" operator="containsText" text="P7 (2015/ON HILL)">
      <formula>NOT(ISERROR(SEARCH("P7 (2015/ON HILL)",B26)))</formula>
    </cfRule>
    <cfRule type="containsText" dxfId="1458" priority="1396" operator="containsText" text="M (2015/NURSERY)">
      <formula>NOT(ISERROR(SEARCH("M (2015/NURSERY)",B26)))</formula>
    </cfRule>
    <cfRule type="containsText" dxfId="1457" priority="1397" operator="containsText" text="M (2016/PLOT3)">
      <formula>NOT(ISERROR(SEARCH("M (2016/PLOT3)",B26)))</formula>
    </cfRule>
    <cfRule type="containsText" dxfId="1456" priority="1398" operator="containsText" text="M (2017)">
      <formula>NOT(ISERROR(SEARCH("M (2017)",B26)))</formula>
    </cfRule>
    <cfRule type="containsText" dxfId="1455" priority="1399" operator="containsText" text="P1 (2017)">
      <formula>NOT(ISERROR(SEARCH("P1 (2017)",B26)))</formula>
    </cfRule>
  </conditionalFormatting>
  <conditionalFormatting sqref="B27">
    <cfRule type="expression" dxfId="1454" priority="1392">
      <formula>"P7 (2016)"</formula>
    </cfRule>
  </conditionalFormatting>
  <conditionalFormatting sqref="B27">
    <cfRule type="containsText" dxfId="1453" priority="1385" operator="containsText" text="P7 (2016)">
      <formula>NOT(ISERROR(SEARCH("P7 (2016)",B27)))</formula>
    </cfRule>
    <cfRule type="containsText" dxfId="1452" priority="1386" operator="containsText" text="NP">
      <formula>NOT(ISERROR(SEARCH("NP",B27)))</formula>
    </cfRule>
    <cfRule type="containsText" dxfId="1451" priority="1387" operator="containsText" text="P7 (2015/ON HILL)">
      <formula>NOT(ISERROR(SEARCH("P7 (2015/ON HILL)",B27)))</formula>
    </cfRule>
    <cfRule type="containsText" dxfId="1450" priority="1388" operator="containsText" text="M (2015/NURSERY)">
      <formula>NOT(ISERROR(SEARCH("M (2015/NURSERY)",B27)))</formula>
    </cfRule>
    <cfRule type="containsText" dxfId="1449" priority="1389" operator="containsText" text="M (2016/PLOT3)">
      <formula>NOT(ISERROR(SEARCH("M (2016/PLOT3)",B27)))</formula>
    </cfRule>
    <cfRule type="containsText" dxfId="1448" priority="1390" operator="containsText" text="M (2017)">
      <formula>NOT(ISERROR(SEARCH("M (2017)",B27)))</formula>
    </cfRule>
    <cfRule type="containsText" dxfId="1447" priority="1391" operator="containsText" text="P1 (2017)">
      <formula>NOT(ISERROR(SEARCH("P1 (2017)",B27)))</formula>
    </cfRule>
  </conditionalFormatting>
  <conditionalFormatting sqref="B39">
    <cfRule type="expression" dxfId="1446" priority="1384">
      <formula>"P7 (2016)"</formula>
    </cfRule>
  </conditionalFormatting>
  <conditionalFormatting sqref="B39">
    <cfRule type="containsText" dxfId="1445" priority="1377" operator="containsText" text="P7 (2016)">
      <formula>NOT(ISERROR(SEARCH("P7 (2016)",B39)))</formula>
    </cfRule>
    <cfRule type="containsText" dxfId="1444" priority="1378" operator="containsText" text="NP">
      <formula>NOT(ISERROR(SEARCH("NP",B39)))</formula>
    </cfRule>
    <cfRule type="containsText" dxfId="1443" priority="1379" operator="containsText" text="P7 (2015/ON HILL)">
      <formula>NOT(ISERROR(SEARCH("P7 (2015/ON HILL)",B39)))</formula>
    </cfRule>
    <cfRule type="containsText" dxfId="1442" priority="1380" operator="containsText" text="M (2015/NURSERY)">
      <formula>NOT(ISERROR(SEARCH("M (2015/NURSERY)",B39)))</formula>
    </cfRule>
    <cfRule type="containsText" dxfId="1441" priority="1381" operator="containsText" text="M (2016/PLOT3)">
      <formula>NOT(ISERROR(SEARCH("M (2016/PLOT3)",B39)))</formula>
    </cfRule>
    <cfRule type="containsText" dxfId="1440" priority="1382" operator="containsText" text="M (2017)">
      <formula>NOT(ISERROR(SEARCH("M (2017)",B39)))</formula>
    </cfRule>
    <cfRule type="containsText" dxfId="1439" priority="1383" operator="containsText" text="P1 (2017)">
      <formula>NOT(ISERROR(SEARCH("P1 (2017)",B39)))</formula>
    </cfRule>
  </conditionalFormatting>
  <conditionalFormatting sqref="B40">
    <cfRule type="expression" dxfId="1438" priority="1376">
      <formula>"P7 (2016)"</formula>
    </cfRule>
  </conditionalFormatting>
  <conditionalFormatting sqref="B40">
    <cfRule type="containsText" dxfId="1437" priority="1369" operator="containsText" text="P7 (2016)">
      <formula>NOT(ISERROR(SEARCH("P7 (2016)",B40)))</formula>
    </cfRule>
    <cfRule type="containsText" dxfId="1436" priority="1370" operator="containsText" text="NP">
      <formula>NOT(ISERROR(SEARCH("NP",B40)))</formula>
    </cfRule>
    <cfRule type="containsText" dxfId="1435" priority="1371" operator="containsText" text="P7 (2015/ON HILL)">
      <formula>NOT(ISERROR(SEARCH("P7 (2015/ON HILL)",B40)))</formula>
    </cfRule>
    <cfRule type="containsText" dxfId="1434" priority="1372" operator="containsText" text="M (2015/NURSERY)">
      <formula>NOT(ISERROR(SEARCH("M (2015/NURSERY)",B40)))</formula>
    </cfRule>
    <cfRule type="containsText" dxfId="1433" priority="1373" operator="containsText" text="M (2016/PLOT3)">
      <formula>NOT(ISERROR(SEARCH("M (2016/PLOT3)",B40)))</formula>
    </cfRule>
    <cfRule type="containsText" dxfId="1432" priority="1374" operator="containsText" text="M (2017)">
      <formula>NOT(ISERROR(SEARCH("M (2017)",B40)))</formula>
    </cfRule>
    <cfRule type="containsText" dxfId="1431" priority="1375" operator="containsText" text="P1 (2017)">
      <formula>NOT(ISERROR(SEARCH("P1 (2017)",B40)))</formula>
    </cfRule>
  </conditionalFormatting>
  <conditionalFormatting sqref="B41">
    <cfRule type="expression" dxfId="1430" priority="1368">
      <formula>"P7 (2016)"</formula>
    </cfRule>
  </conditionalFormatting>
  <conditionalFormatting sqref="B41">
    <cfRule type="containsText" dxfId="1429" priority="1361" operator="containsText" text="P7 (2016)">
      <formula>NOT(ISERROR(SEARCH("P7 (2016)",B41)))</formula>
    </cfRule>
    <cfRule type="containsText" dxfId="1428" priority="1362" operator="containsText" text="NP">
      <formula>NOT(ISERROR(SEARCH("NP",B41)))</formula>
    </cfRule>
    <cfRule type="containsText" dxfId="1427" priority="1363" operator="containsText" text="P7 (2015/ON HILL)">
      <formula>NOT(ISERROR(SEARCH("P7 (2015/ON HILL)",B41)))</formula>
    </cfRule>
    <cfRule type="containsText" dxfId="1426" priority="1364" operator="containsText" text="M (2015/NURSERY)">
      <formula>NOT(ISERROR(SEARCH("M (2015/NURSERY)",B41)))</formula>
    </cfRule>
    <cfRule type="containsText" dxfId="1425" priority="1365" operator="containsText" text="M (2016/PLOT3)">
      <formula>NOT(ISERROR(SEARCH("M (2016/PLOT3)",B41)))</formula>
    </cfRule>
    <cfRule type="containsText" dxfId="1424" priority="1366" operator="containsText" text="M (2017)">
      <formula>NOT(ISERROR(SEARCH("M (2017)",B41)))</formula>
    </cfRule>
    <cfRule type="containsText" dxfId="1423" priority="1367" operator="containsText" text="P1 (2017)">
      <formula>NOT(ISERROR(SEARCH("P1 (2017)",B41)))</formula>
    </cfRule>
  </conditionalFormatting>
  <conditionalFormatting sqref="B43">
    <cfRule type="expression" dxfId="1422" priority="1360">
      <formula>"P7 (2016)"</formula>
    </cfRule>
  </conditionalFormatting>
  <conditionalFormatting sqref="B43">
    <cfRule type="containsText" dxfId="1421" priority="1353" operator="containsText" text="P7 (2016)">
      <formula>NOT(ISERROR(SEARCH("P7 (2016)",B43)))</formula>
    </cfRule>
    <cfRule type="containsText" dxfId="1420" priority="1354" operator="containsText" text="NP">
      <formula>NOT(ISERROR(SEARCH("NP",B43)))</formula>
    </cfRule>
    <cfRule type="containsText" dxfId="1419" priority="1355" operator="containsText" text="P7 (2015/ON HILL)">
      <formula>NOT(ISERROR(SEARCH("P7 (2015/ON HILL)",B43)))</formula>
    </cfRule>
    <cfRule type="containsText" dxfId="1418" priority="1356" operator="containsText" text="M (2015/NURSERY)">
      <formula>NOT(ISERROR(SEARCH("M (2015/NURSERY)",B43)))</formula>
    </cfRule>
    <cfRule type="containsText" dxfId="1417" priority="1357" operator="containsText" text="M (2016/PLOT3)">
      <formula>NOT(ISERROR(SEARCH("M (2016/PLOT3)",B43)))</formula>
    </cfRule>
    <cfRule type="containsText" dxfId="1416" priority="1358" operator="containsText" text="M (2017)">
      <formula>NOT(ISERROR(SEARCH("M (2017)",B43)))</formula>
    </cfRule>
    <cfRule type="containsText" dxfId="1415" priority="1359" operator="containsText" text="P1 (2017)">
      <formula>NOT(ISERROR(SEARCH("P1 (2017)",B43)))</formula>
    </cfRule>
  </conditionalFormatting>
  <conditionalFormatting sqref="B45 B47">
    <cfRule type="expression" dxfId="1414" priority="1352">
      <formula>"P7 (2016)"</formula>
    </cfRule>
  </conditionalFormatting>
  <conditionalFormatting sqref="B45 B47">
    <cfRule type="containsText" dxfId="1413" priority="1345" operator="containsText" text="P7 (2016)">
      <formula>NOT(ISERROR(SEARCH("P7 (2016)",B45)))</formula>
    </cfRule>
    <cfRule type="containsText" dxfId="1412" priority="1346" operator="containsText" text="NP">
      <formula>NOT(ISERROR(SEARCH("NP",B45)))</formula>
    </cfRule>
    <cfRule type="containsText" dxfId="1411" priority="1347" operator="containsText" text="P7 (2015/ON HILL)">
      <formula>NOT(ISERROR(SEARCH("P7 (2015/ON HILL)",B45)))</formula>
    </cfRule>
    <cfRule type="containsText" dxfId="1410" priority="1348" operator="containsText" text="M (2015/NURSERY)">
      <formula>NOT(ISERROR(SEARCH("M (2015/NURSERY)",B45)))</formula>
    </cfRule>
    <cfRule type="containsText" dxfId="1409" priority="1349" operator="containsText" text="M (2016/PLOT3)">
      <formula>NOT(ISERROR(SEARCH("M (2016/PLOT3)",B45)))</formula>
    </cfRule>
    <cfRule type="containsText" dxfId="1408" priority="1350" operator="containsText" text="M (2017)">
      <formula>NOT(ISERROR(SEARCH("M (2017)",B45)))</formula>
    </cfRule>
    <cfRule type="containsText" dxfId="1407" priority="1351" operator="containsText" text="P1 (2017)">
      <formula>NOT(ISERROR(SEARCH("P1 (2017)",B45)))</formula>
    </cfRule>
  </conditionalFormatting>
  <conditionalFormatting sqref="B48">
    <cfRule type="expression" dxfId="1406" priority="1344">
      <formula>"P7 (2016)"</formula>
    </cfRule>
  </conditionalFormatting>
  <conditionalFormatting sqref="B48">
    <cfRule type="containsText" dxfId="1405" priority="1337" operator="containsText" text="P7 (2016)">
      <formula>NOT(ISERROR(SEARCH("P7 (2016)",B48)))</formula>
    </cfRule>
    <cfRule type="containsText" dxfId="1404" priority="1338" operator="containsText" text="NP">
      <formula>NOT(ISERROR(SEARCH("NP",B48)))</formula>
    </cfRule>
    <cfRule type="containsText" dxfId="1403" priority="1339" operator="containsText" text="P7 (2015/ON HILL)">
      <formula>NOT(ISERROR(SEARCH("P7 (2015/ON HILL)",B48)))</formula>
    </cfRule>
    <cfRule type="containsText" dxfId="1402" priority="1340" operator="containsText" text="M (2015/NURSERY)">
      <formula>NOT(ISERROR(SEARCH("M (2015/NURSERY)",B48)))</formula>
    </cfRule>
    <cfRule type="containsText" dxfId="1401" priority="1341" operator="containsText" text="M (2016/PLOT3)">
      <formula>NOT(ISERROR(SEARCH("M (2016/PLOT3)",B48)))</formula>
    </cfRule>
    <cfRule type="containsText" dxfId="1400" priority="1342" operator="containsText" text="M (2017)">
      <formula>NOT(ISERROR(SEARCH("M (2017)",B48)))</formula>
    </cfRule>
    <cfRule type="containsText" dxfId="1399" priority="1343" operator="containsText" text="P1 (2017)">
      <formula>NOT(ISERROR(SEARCH("P1 (2017)",B48)))</formula>
    </cfRule>
  </conditionalFormatting>
  <conditionalFormatting sqref="B50:B53">
    <cfRule type="containsText" dxfId="1398" priority="1321" operator="containsText" text="P7 (2016)">
      <formula>NOT(ISERROR(SEARCH("P7 (2016)",B50)))</formula>
    </cfRule>
    <cfRule type="containsText" dxfId="1397" priority="1322" operator="containsText" text="NP">
      <formula>NOT(ISERROR(SEARCH("NP",B50)))</formula>
    </cfRule>
    <cfRule type="containsText" dxfId="1396" priority="1323" operator="containsText" text="P7 (2015/ON HILL)">
      <formula>NOT(ISERROR(SEARCH("P7 (2015/ON HILL)",B50)))</formula>
    </cfRule>
    <cfRule type="containsText" dxfId="1395" priority="1324" operator="containsText" text="M (2015/NURSERY)">
      <formula>NOT(ISERROR(SEARCH("M (2015/NURSERY)",B50)))</formula>
    </cfRule>
    <cfRule type="containsText" dxfId="1394" priority="1325" operator="containsText" text="M (2016/PLOT3)">
      <formula>NOT(ISERROR(SEARCH("M (2016/PLOT3)",B50)))</formula>
    </cfRule>
    <cfRule type="containsText" dxfId="1393" priority="1326" operator="containsText" text="M (2017)">
      <formula>NOT(ISERROR(SEARCH("M (2017)",B50)))</formula>
    </cfRule>
    <cfRule type="containsText" dxfId="1392" priority="1327" operator="containsText" text="P1 (2017)">
      <formula>NOT(ISERROR(SEARCH("P1 (2017)",B50)))</formula>
    </cfRule>
  </conditionalFormatting>
  <conditionalFormatting sqref="B49">
    <cfRule type="expression" dxfId="1391" priority="1336">
      <formula>"P7 (2016)"</formula>
    </cfRule>
  </conditionalFormatting>
  <conditionalFormatting sqref="B49">
    <cfRule type="containsText" dxfId="1390" priority="1329" operator="containsText" text="P7 (2016)">
      <formula>NOT(ISERROR(SEARCH("P7 (2016)",B49)))</formula>
    </cfRule>
    <cfRule type="containsText" dxfId="1389" priority="1330" operator="containsText" text="NP">
      <formula>NOT(ISERROR(SEARCH("NP",B49)))</formula>
    </cfRule>
    <cfRule type="containsText" dxfId="1388" priority="1331" operator="containsText" text="P7 (2015/ON HILL)">
      <formula>NOT(ISERROR(SEARCH("P7 (2015/ON HILL)",B49)))</formula>
    </cfRule>
    <cfRule type="containsText" dxfId="1387" priority="1332" operator="containsText" text="M (2015/NURSERY)">
      <formula>NOT(ISERROR(SEARCH("M (2015/NURSERY)",B49)))</formula>
    </cfRule>
    <cfRule type="containsText" dxfId="1386" priority="1333" operator="containsText" text="M (2016/PLOT3)">
      <formula>NOT(ISERROR(SEARCH("M (2016/PLOT3)",B49)))</formula>
    </cfRule>
    <cfRule type="containsText" dxfId="1385" priority="1334" operator="containsText" text="M (2017)">
      <formula>NOT(ISERROR(SEARCH("M (2017)",B49)))</formula>
    </cfRule>
    <cfRule type="containsText" dxfId="1384" priority="1335" operator="containsText" text="P1 (2017)">
      <formula>NOT(ISERROR(SEARCH("P1 (2017)",B49)))</formula>
    </cfRule>
  </conditionalFormatting>
  <conditionalFormatting sqref="B50:B53">
    <cfRule type="expression" dxfId="1383" priority="1328">
      <formula>"P7 (2016)"</formula>
    </cfRule>
  </conditionalFormatting>
  <conditionalFormatting sqref="B55">
    <cfRule type="expression" dxfId="1382" priority="1320">
      <formula>"P7 (2016)"</formula>
    </cfRule>
  </conditionalFormatting>
  <conditionalFormatting sqref="B55">
    <cfRule type="containsText" dxfId="1381" priority="1313" operator="containsText" text="P7 (2016)">
      <formula>NOT(ISERROR(SEARCH("P7 (2016)",B55)))</formula>
    </cfRule>
    <cfRule type="containsText" dxfId="1380" priority="1314" operator="containsText" text="NP">
      <formula>NOT(ISERROR(SEARCH("NP",B55)))</formula>
    </cfRule>
    <cfRule type="containsText" dxfId="1379" priority="1315" operator="containsText" text="P7 (2015/ON HILL)">
      <formula>NOT(ISERROR(SEARCH("P7 (2015/ON HILL)",B55)))</formula>
    </cfRule>
    <cfRule type="containsText" dxfId="1378" priority="1316" operator="containsText" text="M (2015/NURSERY)">
      <formula>NOT(ISERROR(SEARCH("M (2015/NURSERY)",B55)))</formula>
    </cfRule>
    <cfRule type="containsText" dxfId="1377" priority="1317" operator="containsText" text="M (2016/PLOT3)">
      <formula>NOT(ISERROR(SEARCH("M (2016/PLOT3)",B55)))</formula>
    </cfRule>
    <cfRule type="containsText" dxfId="1376" priority="1318" operator="containsText" text="M (2017)">
      <formula>NOT(ISERROR(SEARCH("M (2017)",B55)))</formula>
    </cfRule>
    <cfRule type="containsText" dxfId="1375" priority="1319" operator="containsText" text="P1 (2017)">
      <formula>NOT(ISERROR(SEARCH("P1 (2017)",B55)))</formula>
    </cfRule>
  </conditionalFormatting>
  <conditionalFormatting sqref="B56">
    <cfRule type="expression" dxfId="1374" priority="1312">
      <formula>"P7 (2016)"</formula>
    </cfRule>
  </conditionalFormatting>
  <conditionalFormatting sqref="B56">
    <cfRule type="containsText" dxfId="1373" priority="1305" operator="containsText" text="P7 (2016)">
      <formula>NOT(ISERROR(SEARCH("P7 (2016)",B56)))</formula>
    </cfRule>
    <cfRule type="containsText" dxfId="1372" priority="1306" operator="containsText" text="NP">
      <formula>NOT(ISERROR(SEARCH("NP",B56)))</formula>
    </cfRule>
    <cfRule type="containsText" dxfId="1371" priority="1307" operator="containsText" text="P7 (2015/ON HILL)">
      <formula>NOT(ISERROR(SEARCH("P7 (2015/ON HILL)",B56)))</formula>
    </cfRule>
    <cfRule type="containsText" dxfId="1370" priority="1308" operator="containsText" text="M (2015/NURSERY)">
      <formula>NOT(ISERROR(SEARCH("M (2015/NURSERY)",B56)))</formula>
    </cfRule>
    <cfRule type="containsText" dxfId="1369" priority="1309" operator="containsText" text="M (2016/PLOT3)">
      <formula>NOT(ISERROR(SEARCH("M (2016/PLOT3)",B56)))</formula>
    </cfRule>
    <cfRule type="containsText" dxfId="1368" priority="1310" operator="containsText" text="M (2017)">
      <formula>NOT(ISERROR(SEARCH("M (2017)",B56)))</formula>
    </cfRule>
    <cfRule type="containsText" dxfId="1367" priority="1311" operator="containsText" text="P1 (2017)">
      <formula>NOT(ISERROR(SEARCH("P1 (2017)",B56)))</formula>
    </cfRule>
  </conditionalFormatting>
  <conditionalFormatting sqref="B51:B53">
    <cfRule type="expression" dxfId="1366" priority="1304">
      <formula>"P7 (2016)"</formula>
    </cfRule>
  </conditionalFormatting>
  <conditionalFormatting sqref="B51:B53">
    <cfRule type="containsText" dxfId="1365" priority="1297" operator="containsText" text="P7 (2016)">
      <formula>NOT(ISERROR(SEARCH("P7 (2016)",B51)))</formula>
    </cfRule>
    <cfRule type="containsText" dxfId="1364" priority="1298" operator="containsText" text="NP">
      <formula>NOT(ISERROR(SEARCH("NP",B51)))</formula>
    </cfRule>
    <cfRule type="containsText" dxfId="1363" priority="1299" operator="containsText" text="P7 (2015/ON HILL)">
      <formula>NOT(ISERROR(SEARCH("P7 (2015/ON HILL)",B51)))</formula>
    </cfRule>
    <cfRule type="containsText" dxfId="1362" priority="1300" operator="containsText" text="M (2015/NURSERY)">
      <formula>NOT(ISERROR(SEARCH("M (2015/NURSERY)",B51)))</formula>
    </cfRule>
    <cfRule type="containsText" dxfId="1361" priority="1301" operator="containsText" text="M (2016/PLOT3)">
      <formula>NOT(ISERROR(SEARCH("M (2016/PLOT3)",B51)))</formula>
    </cfRule>
    <cfRule type="containsText" dxfId="1360" priority="1302" operator="containsText" text="M (2017)">
      <formula>NOT(ISERROR(SEARCH("M (2017)",B51)))</formula>
    </cfRule>
    <cfRule type="containsText" dxfId="1359" priority="1303" operator="containsText" text="P1 (2017)">
      <formula>NOT(ISERROR(SEARCH("P1 (2017)",B51)))</formula>
    </cfRule>
  </conditionalFormatting>
  <conditionalFormatting sqref="B54">
    <cfRule type="expression" dxfId="1358" priority="1296">
      <formula>"P7 (2016)"</formula>
    </cfRule>
  </conditionalFormatting>
  <conditionalFormatting sqref="B54">
    <cfRule type="containsText" dxfId="1357" priority="1289" operator="containsText" text="P7 (2016)">
      <formula>NOT(ISERROR(SEARCH("P7 (2016)",B54)))</formula>
    </cfRule>
    <cfRule type="containsText" dxfId="1356" priority="1290" operator="containsText" text="NP">
      <formula>NOT(ISERROR(SEARCH("NP",B54)))</formula>
    </cfRule>
    <cfRule type="containsText" dxfId="1355" priority="1291" operator="containsText" text="P7 (2015/ON HILL)">
      <formula>NOT(ISERROR(SEARCH("P7 (2015/ON HILL)",B54)))</formula>
    </cfRule>
    <cfRule type="containsText" dxfId="1354" priority="1292" operator="containsText" text="M (2015/NURSERY)">
      <formula>NOT(ISERROR(SEARCH("M (2015/NURSERY)",B54)))</formula>
    </cfRule>
    <cfRule type="containsText" dxfId="1353" priority="1293" operator="containsText" text="M (2016/PLOT3)">
      <formula>NOT(ISERROR(SEARCH("M (2016/PLOT3)",B54)))</formula>
    </cfRule>
    <cfRule type="containsText" dxfId="1352" priority="1294" operator="containsText" text="M (2017)">
      <formula>NOT(ISERROR(SEARCH("M (2017)",B54)))</formula>
    </cfRule>
    <cfRule type="containsText" dxfId="1351" priority="1295" operator="containsText" text="P1 (2017)">
      <formula>NOT(ISERROR(SEARCH("P1 (2017)",B54)))</formula>
    </cfRule>
  </conditionalFormatting>
  <conditionalFormatting sqref="B57">
    <cfRule type="expression" dxfId="1350" priority="1288">
      <formula>"P7 (2016)"</formula>
    </cfRule>
  </conditionalFormatting>
  <conditionalFormatting sqref="B57">
    <cfRule type="containsText" dxfId="1349" priority="1281" operator="containsText" text="P7 (2016)">
      <formula>NOT(ISERROR(SEARCH("P7 (2016)",B57)))</formula>
    </cfRule>
    <cfRule type="containsText" dxfId="1348" priority="1282" operator="containsText" text="NP">
      <formula>NOT(ISERROR(SEARCH("NP",B57)))</formula>
    </cfRule>
    <cfRule type="containsText" dxfId="1347" priority="1283" operator="containsText" text="P7 (2015/ON HILL)">
      <formula>NOT(ISERROR(SEARCH("P7 (2015/ON HILL)",B57)))</formula>
    </cfRule>
    <cfRule type="containsText" dxfId="1346" priority="1284" operator="containsText" text="M (2015/NURSERY)">
      <formula>NOT(ISERROR(SEARCH("M (2015/NURSERY)",B57)))</formula>
    </cfRule>
    <cfRule type="containsText" dxfId="1345" priority="1285" operator="containsText" text="M (2016/PLOT3)">
      <formula>NOT(ISERROR(SEARCH("M (2016/PLOT3)",B57)))</formula>
    </cfRule>
    <cfRule type="containsText" dxfId="1344" priority="1286" operator="containsText" text="M (2017)">
      <formula>NOT(ISERROR(SEARCH("M (2017)",B57)))</formula>
    </cfRule>
    <cfRule type="containsText" dxfId="1343" priority="1287" operator="containsText" text="P1 (2017)">
      <formula>NOT(ISERROR(SEARCH("P1 (2017)",B57)))</formula>
    </cfRule>
  </conditionalFormatting>
  <conditionalFormatting sqref="B58">
    <cfRule type="expression" dxfId="1342" priority="1280">
      <formula>"P7 (2016)"</formula>
    </cfRule>
  </conditionalFormatting>
  <conditionalFormatting sqref="B58">
    <cfRule type="containsText" dxfId="1341" priority="1273" operator="containsText" text="P7 (2016)">
      <formula>NOT(ISERROR(SEARCH("P7 (2016)",B58)))</formula>
    </cfRule>
    <cfRule type="containsText" dxfId="1340" priority="1274" operator="containsText" text="NP">
      <formula>NOT(ISERROR(SEARCH("NP",B58)))</formula>
    </cfRule>
    <cfRule type="containsText" dxfId="1339" priority="1275" operator="containsText" text="P7 (2015/ON HILL)">
      <formula>NOT(ISERROR(SEARCH("P7 (2015/ON HILL)",B58)))</formula>
    </cfRule>
    <cfRule type="containsText" dxfId="1338" priority="1276" operator="containsText" text="M (2015/NURSERY)">
      <formula>NOT(ISERROR(SEARCH("M (2015/NURSERY)",B58)))</formula>
    </cfRule>
    <cfRule type="containsText" dxfId="1337" priority="1277" operator="containsText" text="M (2016/PLOT3)">
      <formula>NOT(ISERROR(SEARCH("M (2016/PLOT3)",B58)))</formula>
    </cfRule>
    <cfRule type="containsText" dxfId="1336" priority="1278" operator="containsText" text="M (2017)">
      <formula>NOT(ISERROR(SEARCH("M (2017)",B58)))</formula>
    </cfRule>
    <cfRule type="containsText" dxfId="1335" priority="1279" operator="containsText" text="P1 (2017)">
      <formula>NOT(ISERROR(SEARCH("P1 (2017)",B58)))</formula>
    </cfRule>
  </conditionalFormatting>
  <conditionalFormatting sqref="B59 B62">
    <cfRule type="expression" dxfId="1334" priority="1272">
      <formula>"P7 (2016)"</formula>
    </cfRule>
  </conditionalFormatting>
  <conditionalFormatting sqref="B59 B62">
    <cfRule type="containsText" dxfId="1333" priority="1265" operator="containsText" text="P7 (2016)">
      <formula>NOT(ISERROR(SEARCH("P7 (2016)",B59)))</formula>
    </cfRule>
    <cfRule type="containsText" dxfId="1332" priority="1266" operator="containsText" text="NP">
      <formula>NOT(ISERROR(SEARCH("NP",B59)))</formula>
    </cfRule>
    <cfRule type="containsText" dxfId="1331" priority="1267" operator="containsText" text="P7 (2015/ON HILL)">
      <formula>NOT(ISERROR(SEARCH("P7 (2015/ON HILL)",B59)))</formula>
    </cfRule>
    <cfRule type="containsText" dxfId="1330" priority="1268" operator="containsText" text="M (2015/NURSERY)">
      <formula>NOT(ISERROR(SEARCH("M (2015/NURSERY)",B59)))</formula>
    </cfRule>
    <cfRule type="containsText" dxfId="1329" priority="1269" operator="containsText" text="M (2016/PLOT3)">
      <formula>NOT(ISERROR(SEARCH("M (2016/PLOT3)",B59)))</formula>
    </cfRule>
    <cfRule type="containsText" dxfId="1328" priority="1270" operator="containsText" text="M (2017)">
      <formula>NOT(ISERROR(SEARCH("M (2017)",B59)))</formula>
    </cfRule>
    <cfRule type="containsText" dxfId="1327" priority="1271" operator="containsText" text="P1 (2017)">
      <formula>NOT(ISERROR(SEARCH("P1 (2017)",B59)))</formula>
    </cfRule>
  </conditionalFormatting>
  <conditionalFormatting sqref="B65 B67">
    <cfRule type="expression" dxfId="1326" priority="1264">
      <formula>"P7 (2016)"</formula>
    </cfRule>
  </conditionalFormatting>
  <conditionalFormatting sqref="B65 B67">
    <cfRule type="containsText" dxfId="1325" priority="1257" operator="containsText" text="P7 (2016)">
      <formula>NOT(ISERROR(SEARCH("P7 (2016)",B65)))</formula>
    </cfRule>
    <cfRule type="containsText" dxfId="1324" priority="1258" operator="containsText" text="NP">
      <formula>NOT(ISERROR(SEARCH("NP",B65)))</formula>
    </cfRule>
    <cfRule type="containsText" dxfId="1323" priority="1259" operator="containsText" text="P7 (2015/ON HILL)">
      <formula>NOT(ISERROR(SEARCH("P7 (2015/ON HILL)",B65)))</formula>
    </cfRule>
    <cfRule type="containsText" dxfId="1322" priority="1260" operator="containsText" text="M (2015/NURSERY)">
      <formula>NOT(ISERROR(SEARCH("M (2015/NURSERY)",B65)))</formula>
    </cfRule>
    <cfRule type="containsText" dxfId="1321" priority="1261" operator="containsText" text="M (2016/PLOT3)">
      <formula>NOT(ISERROR(SEARCH("M (2016/PLOT3)",B65)))</formula>
    </cfRule>
    <cfRule type="containsText" dxfId="1320" priority="1262" operator="containsText" text="M (2017)">
      <formula>NOT(ISERROR(SEARCH("M (2017)",B65)))</formula>
    </cfRule>
    <cfRule type="containsText" dxfId="1319" priority="1263" operator="containsText" text="P1 (2017)">
      <formula>NOT(ISERROR(SEARCH("P1 (2017)",B65)))</formula>
    </cfRule>
  </conditionalFormatting>
  <conditionalFormatting sqref="B71">
    <cfRule type="expression" dxfId="1318" priority="1256">
      <formula>"P7 (2016)"</formula>
    </cfRule>
  </conditionalFormatting>
  <conditionalFormatting sqref="B71">
    <cfRule type="containsText" dxfId="1317" priority="1249" operator="containsText" text="P7 (2016)">
      <formula>NOT(ISERROR(SEARCH("P7 (2016)",B71)))</formula>
    </cfRule>
    <cfRule type="containsText" dxfId="1316" priority="1250" operator="containsText" text="NP">
      <formula>NOT(ISERROR(SEARCH("NP",B71)))</formula>
    </cfRule>
    <cfRule type="containsText" dxfId="1315" priority="1251" operator="containsText" text="P7 (2015/ON HILL)">
      <formula>NOT(ISERROR(SEARCH("P7 (2015/ON HILL)",B71)))</formula>
    </cfRule>
    <cfRule type="containsText" dxfId="1314" priority="1252" operator="containsText" text="M (2015/NURSERY)">
      <formula>NOT(ISERROR(SEARCH("M (2015/NURSERY)",B71)))</formula>
    </cfRule>
    <cfRule type="containsText" dxfId="1313" priority="1253" operator="containsText" text="M (2016/PLOT3)">
      <formula>NOT(ISERROR(SEARCH("M (2016/PLOT3)",B71)))</formula>
    </cfRule>
    <cfRule type="containsText" dxfId="1312" priority="1254" operator="containsText" text="M (2017)">
      <formula>NOT(ISERROR(SEARCH("M (2017)",B71)))</formula>
    </cfRule>
    <cfRule type="containsText" dxfId="1311" priority="1255" operator="containsText" text="P1 (2017)">
      <formula>NOT(ISERROR(SEARCH("P1 (2017)",B71)))</formula>
    </cfRule>
  </conditionalFormatting>
  <conditionalFormatting sqref="B73">
    <cfRule type="expression" dxfId="1310" priority="1248">
      <formula>"P7 (2016)"</formula>
    </cfRule>
  </conditionalFormatting>
  <conditionalFormatting sqref="B73">
    <cfRule type="containsText" dxfId="1309" priority="1241" operator="containsText" text="P7 (2016)">
      <formula>NOT(ISERROR(SEARCH("P7 (2016)",B73)))</formula>
    </cfRule>
    <cfRule type="containsText" dxfId="1308" priority="1242" operator="containsText" text="NP">
      <formula>NOT(ISERROR(SEARCH("NP",B73)))</formula>
    </cfRule>
    <cfRule type="containsText" dxfId="1307" priority="1243" operator="containsText" text="P7 (2015/ON HILL)">
      <formula>NOT(ISERROR(SEARCH("P7 (2015/ON HILL)",B73)))</formula>
    </cfRule>
    <cfRule type="containsText" dxfId="1306" priority="1244" operator="containsText" text="M (2015/NURSERY)">
      <formula>NOT(ISERROR(SEARCH("M (2015/NURSERY)",B73)))</formula>
    </cfRule>
    <cfRule type="containsText" dxfId="1305" priority="1245" operator="containsText" text="M (2016/PLOT3)">
      <formula>NOT(ISERROR(SEARCH("M (2016/PLOT3)",B73)))</formula>
    </cfRule>
    <cfRule type="containsText" dxfId="1304" priority="1246" operator="containsText" text="M (2017)">
      <formula>NOT(ISERROR(SEARCH("M (2017)",B73)))</formula>
    </cfRule>
    <cfRule type="containsText" dxfId="1303" priority="1247" operator="containsText" text="P1 (2017)">
      <formula>NOT(ISERROR(SEARCH("P1 (2017)",B73)))</formula>
    </cfRule>
  </conditionalFormatting>
  <conditionalFormatting sqref="B72">
    <cfRule type="expression" dxfId="1302" priority="1240">
      <formula>"P7 (2016)"</formula>
    </cfRule>
  </conditionalFormatting>
  <conditionalFormatting sqref="B72">
    <cfRule type="containsText" dxfId="1301" priority="1233" operator="containsText" text="P7 (2016)">
      <formula>NOT(ISERROR(SEARCH("P7 (2016)",B72)))</formula>
    </cfRule>
    <cfRule type="containsText" dxfId="1300" priority="1234" operator="containsText" text="NP">
      <formula>NOT(ISERROR(SEARCH("NP",B72)))</formula>
    </cfRule>
    <cfRule type="containsText" dxfId="1299" priority="1235" operator="containsText" text="P7 (2015/ON HILL)">
      <formula>NOT(ISERROR(SEARCH("P7 (2015/ON HILL)",B72)))</formula>
    </cfRule>
    <cfRule type="containsText" dxfId="1298" priority="1236" operator="containsText" text="M (2015/NURSERY)">
      <formula>NOT(ISERROR(SEARCH("M (2015/NURSERY)",B72)))</formula>
    </cfRule>
    <cfRule type="containsText" dxfId="1297" priority="1237" operator="containsText" text="M (2016/PLOT3)">
      <formula>NOT(ISERROR(SEARCH("M (2016/PLOT3)",B72)))</formula>
    </cfRule>
    <cfRule type="containsText" dxfId="1296" priority="1238" operator="containsText" text="M (2017)">
      <formula>NOT(ISERROR(SEARCH("M (2017)",B72)))</formula>
    </cfRule>
    <cfRule type="containsText" dxfId="1295" priority="1239" operator="containsText" text="P1 (2017)">
      <formula>NOT(ISERROR(SEARCH("P1 (2017)",B72)))</formula>
    </cfRule>
  </conditionalFormatting>
  <conditionalFormatting sqref="B75">
    <cfRule type="expression" dxfId="1294" priority="1232">
      <formula>"P7 (2016)"</formula>
    </cfRule>
  </conditionalFormatting>
  <conditionalFormatting sqref="B75">
    <cfRule type="containsText" dxfId="1293" priority="1225" operator="containsText" text="P7 (2016)">
      <formula>NOT(ISERROR(SEARCH("P7 (2016)",B75)))</formula>
    </cfRule>
    <cfRule type="containsText" dxfId="1292" priority="1226" operator="containsText" text="NP">
      <formula>NOT(ISERROR(SEARCH("NP",B75)))</formula>
    </cfRule>
    <cfRule type="containsText" dxfId="1291" priority="1227" operator="containsText" text="P7 (2015/ON HILL)">
      <formula>NOT(ISERROR(SEARCH("P7 (2015/ON HILL)",B75)))</formula>
    </cfRule>
    <cfRule type="containsText" dxfId="1290" priority="1228" operator="containsText" text="M (2015/NURSERY)">
      <formula>NOT(ISERROR(SEARCH("M (2015/NURSERY)",B75)))</formula>
    </cfRule>
    <cfRule type="containsText" dxfId="1289" priority="1229" operator="containsText" text="M (2016/PLOT3)">
      <formula>NOT(ISERROR(SEARCH("M (2016/PLOT3)",B75)))</formula>
    </cfRule>
    <cfRule type="containsText" dxfId="1288" priority="1230" operator="containsText" text="M (2017)">
      <formula>NOT(ISERROR(SEARCH("M (2017)",B75)))</formula>
    </cfRule>
    <cfRule type="containsText" dxfId="1287" priority="1231" operator="containsText" text="P1 (2017)">
      <formula>NOT(ISERROR(SEARCH("P1 (2017)",B75)))</formula>
    </cfRule>
  </conditionalFormatting>
  <conditionalFormatting sqref="B74">
    <cfRule type="expression" dxfId="1286" priority="1224">
      <formula>"P7 (2016)"</formula>
    </cfRule>
  </conditionalFormatting>
  <conditionalFormatting sqref="B74">
    <cfRule type="containsText" dxfId="1285" priority="1217" operator="containsText" text="P7 (2016)">
      <formula>NOT(ISERROR(SEARCH("P7 (2016)",B74)))</formula>
    </cfRule>
    <cfRule type="containsText" dxfId="1284" priority="1218" operator="containsText" text="NP">
      <formula>NOT(ISERROR(SEARCH("NP",B74)))</formula>
    </cfRule>
    <cfRule type="containsText" dxfId="1283" priority="1219" operator="containsText" text="P7 (2015/ON HILL)">
      <formula>NOT(ISERROR(SEARCH("P7 (2015/ON HILL)",B74)))</formula>
    </cfRule>
    <cfRule type="containsText" dxfId="1282" priority="1220" operator="containsText" text="M (2015/NURSERY)">
      <formula>NOT(ISERROR(SEARCH("M (2015/NURSERY)",B74)))</formula>
    </cfRule>
    <cfRule type="containsText" dxfId="1281" priority="1221" operator="containsText" text="M (2016/PLOT3)">
      <formula>NOT(ISERROR(SEARCH("M (2016/PLOT3)",B74)))</formula>
    </cfRule>
    <cfRule type="containsText" dxfId="1280" priority="1222" operator="containsText" text="M (2017)">
      <formula>NOT(ISERROR(SEARCH("M (2017)",B74)))</formula>
    </cfRule>
    <cfRule type="containsText" dxfId="1279" priority="1223" operator="containsText" text="P1 (2017)">
      <formula>NOT(ISERROR(SEARCH("P1 (2017)",B74)))</formula>
    </cfRule>
  </conditionalFormatting>
  <conditionalFormatting sqref="B76">
    <cfRule type="expression" dxfId="1278" priority="1216">
      <formula>"P7 (2016)"</formula>
    </cfRule>
  </conditionalFormatting>
  <conditionalFormatting sqref="B76">
    <cfRule type="containsText" dxfId="1277" priority="1209" operator="containsText" text="P7 (2016)">
      <formula>NOT(ISERROR(SEARCH("P7 (2016)",B76)))</formula>
    </cfRule>
    <cfRule type="containsText" dxfId="1276" priority="1210" operator="containsText" text="NP">
      <formula>NOT(ISERROR(SEARCH("NP",B76)))</formula>
    </cfRule>
    <cfRule type="containsText" dxfId="1275" priority="1211" operator="containsText" text="P7 (2015/ON HILL)">
      <formula>NOT(ISERROR(SEARCH("P7 (2015/ON HILL)",B76)))</formula>
    </cfRule>
    <cfRule type="containsText" dxfId="1274" priority="1212" operator="containsText" text="M (2015/NURSERY)">
      <formula>NOT(ISERROR(SEARCH("M (2015/NURSERY)",B76)))</formula>
    </cfRule>
    <cfRule type="containsText" dxfId="1273" priority="1213" operator="containsText" text="M (2016/PLOT3)">
      <formula>NOT(ISERROR(SEARCH("M (2016/PLOT3)",B76)))</formula>
    </cfRule>
    <cfRule type="containsText" dxfId="1272" priority="1214" operator="containsText" text="M (2017)">
      <formula>NOT(ISERROR(SEARCH("M (2017)",B76)))</formula>
    </cfRule>
    <cfRule type="containsText" dxfId="1271" priority="1215" operator="containsText" text="P1 (2017)">
      <formula>NOT(ISERROR(SEARCH("P1 (2017)",B76)))</formula>
    </cfRule>
  </conditionalFormatting>
  <conditionalFormatting sqref="B77">
    <cfRule type="expression" dxfId="1270" priority="1208">
      <formula>"P7 (2016)"</formula>
    </cfRule>
  </conditionalFormatting>
  <conditionalFormatting sqref="B77">
    <cfRule type="containsText" dxfId="1269" priority="1201" operator="containsText" text="P7 (2016)">
      <formula>NOT(ISERROR(SEARCH("P7 (2016)",B77)))</formula>
    </cfRule>
    <cfRule type="containsText" dxfId="1268" priority="1202" operator="containsText" text="NP">
      <formula>NOT(ISERROR(SEARCH("NP",B77)))</formula>
    </cfRule>
    <cfRule type="containsText" dxfId="1267" priority="1203" operator="containsText" text="P7 (2015/ON HILL)">
      <formula>NOT(ISERROR(SEARCH("P7 (2015/ON HILL)",B77)))</formula>
    </cfRule>
    <cfRule type="containsText" dxfId="1266" priority="1204" operator="containsText" text="M (2015/NURSERY)">
      <formula>NOT(ISERROR(SEARCH("M (2015/NURSERY)",B77)))</formula>
    </cfRule>
    <cfRule type="containsText" dxfId="1265" priority="1205" operator="containsText" text="M (2016/PLOT3)">
      <formula>NOT(ISERROR(SEARCH("M (2016/PLOT3)",B77)))</formula>
    </cfRule>
    <cfRule type="containsText" dxfId="1264" priority="1206" operator="containsText" text="M (2017)">
      <formula>NOT(ISERROR(SEARCH("M (2017)",B77)))</formula>
    </cfRule>
    <cfRule type="containsText" dxfId="1263" priority="1207" operator="containsText" text="P1 (2017)">
      <formula>NOT(ISERROR(SEARCH("P1 (2017)",B77)))</formula>
    </cfRule>
  </conditionalFormatting>
  <conditionalFormatting sqref="B78">
    <cfRule type="expression" dxfId="1262" priority="1200">
      <formula>"P7 (2016)"</formula>
    </cfRule>
  </conditionalFormatting>
  <conditionalFormatting sqref="B78">
    <cfRule type="containsText" dxfId="1261" priority="1193" operator="containsText" text="P7 (2016)">
      <formula>NOT(ISERROR(SEARCH("P7 (2016)",B78)))</formula>
    </cfRule>
    <cfRule type="containsText" dxfId="1260" priority="1194" operator="containsText" text="NP">
      <formula>NOT(ISERROR(SEARCH("NP",B78)))</formula>
    </cfRule>
    <cfRule type="containsText" dxfId="1259" priority="1195" operator="containsText" text="P7 (2015/ON HILL)">
      <formula>NOT(ISERROR(SEARCH("P7 (2015/ON HILL)",B78)))</formula>
    </cfRule>
    <cfRule type="containsText" dxfId="1258" priority="1196" operator="containsText" text="M (2015/NURSERY)">
      <formula>NOT(ISERROR(SEARCH("M (2015/NURSERY)",B78)))</formula>
    </cfRule>
    <cfRule type="containsText" dxfId="1257" priority="1197" operator="containsText" text="M (2016/PLOT3)">
      <formula>NOT(ISERROR(SEARCH("M (2016/PLOT3)",B78)))</formula>
    </cfRule>
    <cfRule type="containsText" dxfId="1256" priority="1198" operator="containsText" text="M (2017)">
      <formula>NOT(ISERROR(SEARCH("M (2017)",B78)))</formula>
    </cfRule>
    <cfRule type="containsText" dxfId="1255" priority="1199" operator="containsText" text="P1 (2017)">
      <formula>NOT(ISERROR(SEARCH("P1 (2017)",B78)))</formula>
    </cfRule>
  </conditionalFormatting>
  <conditionalFormatting sqref="B79">
    <cfRule type="expression" dxfId="1254" priority="1192">
      <formula>"P7 (2016)"</formula>
    </cfRule>
  </conditionalFormatting>
  <conditionalFormatting sqref="B79">
    <cfRule type="containsText" dxfId="1253" priority="1185" operator="containsText" text="P7 (2016)">
      <formula>NOT(ISERROR(SEARCH("P7 (2016)",B79)))</formula>
    </cfRule>
    <cfRule type="containsText" dxfId="1252" priority="1186" operator="containsText" text="NP">
      <formula>NOT(ISERROR(SEARCH("NP",B79)))</formula>
    </cfRule>
    <cfRule type="containsText" dxfId="1251" priority="1187" operator="containsText" text="P7 (2015/ON HILL)">
      <formula>NOT(ISERROR(SEARCH("P7 (2015/ON HILL)",B79)))</formula>
    </cfRule>
    <cfRule type="containsText" dxfId="1250" priority="1188" operator="containsText" text="M (2015/NURSERY)">
      <formula>NOT(ISERROR(SEARCH("M (2015/NURSERY)",B79)))</formula>
    </cfRule>
    <cfRule type="containsText" dxfId="1249" priority="1189" operator="containsText" text="M (2016/PLOT3)">
      <formula>NOT(ISERROR(SEARCH("M (2016/PLOT3)",B79)))</formula>
    </cfRule>
    <cfRule type="containsText" dxfId="1248" priority="1190" operator="containsText" text="M (2017)">
      <formula>NOT(ISERROR(SEARCH("M (2017)",B79)))</formula>
    </cfRule>
    <cfRule type="containsText" dxfId="1247" priority="1191" operator="containsText" text="P1 (2017)">
      <formula>NOT(ISERROR(SEARCH("P1 (2017)",B79)))</formula>
    </cfRule>
  </conditionalFormatting>
  <conditionalFormatting sqref="B80">
    <cfRule type="expression" dxfId="1246" priority="1184">
      <formula>"P7 (2016)"</formula>
    </cfRule>
  </conditionalFormatting>
  <conditionalFormatting sqref="B80">
    <cfRule type="containsText" dxfId="1245" priority="1177" operator="containsText" text="P7 (2016)">
      <formula>NOT(ISERROR(SEARCH("P7 (2016)",B80)))</formula>
    </cfRule>
    <cfRule type="containsText" dxfId="1244" priority="1178" operator="containsText" text="NP">
      <formula>NOT(ISERROR(SEARCH("NP",B80)))</formula>
    </cfRule>
    <cfRule type="containsText" dxfId="1243" priority="1179" operator="containsText" text="P7 (2015/ON HILL)">
      <formula>NOT(ISERROR(SEARCH("P7 (2015/ON HILL)",B80)))</formula>
    </cfRule>
    <cfRule type="containsText" dxfId="1242" priority="1180" operator="containsText" text="M (2015/NURSERY)">
      <formula>NOT(ISERROR(SEARCH("M (2015/NURSERY)",B80)))</formula>
    </cfRule>
    <cfRule type="containsText" dxfId="1241" priority="1181" operator="containsText" text="M (2016/PLOT3)">
      <formula>NOT(ISERROR(SEARCH("M (2016/PLOT3)",B80)))</formula>
    </cfRule>
    <cfRule type="containsText" dxfId="1240" priority="1182" operator="containsText" text="M (2017)">
      <formula>NOT(ISERROR(SEARCH("M (2017)",B80)))</formula>
    </cfRule>
    <cfRule type="containsText" dxfId="1239" priority="1183" operator="containsText" text="P1 (2017)">
      <formula>NOT(ISERROR(SEARCH("P1 (2017)",B80)))</formula>
    </cfRule>
  </conditionalFormatting>
  <conditionalFormatting sqref="B81">
    <cfRule type="expression" dxfId="1238" priority="1176">
      <formula>"P7 (2016)"</formula>
    </cfRule>
  </conditionalFormatting>
  <conditionalFormatting sqref="B81">
    <cfRule type="containsText" dxfId="1237" priority="1169" operator="containsText" text="P7 (2016)">
      <formula>NOT(ISERROR(SEARCH("P7 (2016)",B81)))</formula>
    </cfRule>
    <cfRule type="containsText" dxfId="1236" priority="1170" operator="containsText" text="NP">
      <formula>NOT(ISERROR(SEARCH("NP",B81)))</formula>
    </cfRule>
    <cfRule type="containsText" dxfId="1235" priority="1171" operator="containsText" text="P7 (2015/ON HILL)">
      <formula>NOT(ISERROR(SEARCH("P7 (2015/ON HILL)",B81)))</formula>
    </cfRule>
    <cfRule type="containsText" dxfId="1234" priority="1172" operator="containsText" text="M (2015/NURSERY)">
      <formula>NOT(ISERROR(SEARCH("M (2015/NURSERY)",B81)))</formula>
    </cfRule>
    <cfRule type="containsText" dxfId="1233" priority="1173" operator="containsText" text="M (2016/PLOT3)">
      <formula>NOT(ISERROR(SEARCH("M (2016/PLOT3)",B81)))</formula>
    </cfRule>
    <cfRule type="containsText" dxfId="1232" priority="1174" operator="containsText" text="M (2017)">
      <formula>NOT(ISERROR(SEARCH("M (2017)",B81)))</formula>
    </cfRule>
    <cfRule type="containsText" dxfId="1231" priority="1175" operator="containsText" text="P1 (2017)">
      <formula>NOT(ISERROR(SEARCH("P1 (2017)",B81)))</formula>
    </cfRule>
  </conditionalFormatting>
  <conditionalFormatting sqref="B82">
    <cfRule type="expression" dxfId="1230" priority="1168">
      <formula>"P7 (2016)"</formula>
    </cfRule>
  </conditionalFormatting>
  <conditionalFormatting sqref="B82">
    <cfRule type="containsText" dxfId="1229" priority="1161" operator="containsText" text="P7 (2016)">
      <formula>NOT(ISERROR(SEARCH("P7 (2016)",B82)))</formula>
    </cfRule>
    <cfRule type="containsText" dxfId="1228" priority="1162" operator="containsText" text="NP">
      <formula>NOT(ISERROR(SEARCH("NP",B82)))</formula>
    </cfRule>
    <cfRule type="containsText" dxfId="1227" priority="1163" operator="containsText" text="P7 (2015/ON HILL)">
      <formula>NOT(ISERROR(SEARCH("P7 (2015/ON HILL)",B82)))</formula>
    </cfRule>
    <cfRule type="containsText" dxfId="1226" priority="1164" operator="containsText" text="M (2015/NURSERY)">
      <formula>NOT(ISERROR(SEARCH("M (2015/NURSERY)",B82)))</formula>
    </cfRule>
    <cfRule type="containsText" dxfId="1225" priority="1165" operator="containsText" text="M (2016/PLOT3)">
      <formula>NOT(ISERROR(SEARCH("M (2016/PLOT3)",B82)))</formula>
    </cfRule>
    <cfRule type="containsText" dxfId="1224" priority="1166" operator="containsText" text="M (2017)">
      <formula>NOT(ISERROR(SEARCH("M (2017)",B82)))</formula>
    </cfRule>
    <cfRule type="containsText" dxfId="1223" priority="1167" operator="containsText" text="P1 (2017)">
      <formula>NOT(ISERROR(SEARCH("P1 (2017)",B82)))</formula>
    </cfRule>
  </conditionalFormatting>
  <conditionalFormatting sqref="B83">
    <cfRule type="expression" dxfId="1222" priority="1160">
      <formula>"P7 (2016)"</formula>
    </cfRule>
  </conditionalFormatting>
  <conditionalFormatting sqref="B83">
    <cfRule type="containsText" dxfId="1221" priority="1153" operator="containsText" text="P7 (2016)">
      <formula>NOT(ISERROR(SEARCH("P7 (2016)",B83)))</formula>
    </cfRule>
    <cfRule type="containsText" dxfId="1220" priority="1154" operator="containsText" text="NP">
      <formula>NOT(ISERROR(SEARCH("NP",B83)))</formula>
    </cfRule>
    <cfRule type="containsText" dxfId="1219" priority="1155" operator="containsText" text="P7 (2015/ON HILL)">
      <formula>NOT(ISERROR(SEARCH("P7 (2015/ON HILL)",B83)))</formula>
    </cfRule>
    <cfRule type="containsText" dxfId="1218" priority="1156" operator="containsText" text="M (2015/NURSERY)">
      <formula>NOT(ISERROR(SEARCH("M (2015/NURSERY)",B83)))</formula>
    </cfRule>
    <cfRule type="containsText" dxfId="1217" priority="1157" operator="containsText" text="M (2016/PLOT3)">
      <formula>NOT(ISERROR(SEARCH("M (2016/PLOT3)",B83)))</formula>
    </cfRule>
    <cfRule type="containsText" dxfId="1216" priority="1158" operator="containsText" text="M (2017)">
      <formula>NOT(ISERROR(SEARCH("M (2017)",B83)))</formula>
    </cfRule>
    <cfRule type="containsText" dxfId="1215" priority="1159" operator="containsText" text="P1 (2017)">
      <formula>NOT(ISERROR(SEARCH("P1 (2017)",B83)))</formula>
    </cfRule>
  </conditionalFormatting>
  <conditionalFormatting sqref="B84">
    <cfRule type="expression" dxfId="1214" priority="1152">
      <formula>"P7 (2016)"</formula>
    </cfRule>
  </conditionalFormatting>
  <conditionalFormatting sqref="B84">
    <cfRule type="containsText" dxfId="1213" priority="1145" operator="containsText" text="P7 (2016)">
      <formula>NOT(ISERROR(SEARCH("P7 (2016)",B84)))</formula>
    </cfRule>
    <cfRule type="containsText" dxfId="1212" priority="1146" operator="containsText" text="NP">
      <formula>NOT(ISERROR(SEARCH("NP",B84)))</formula>
    </cfRule>
    <cfRule type="containsText" dxfId="1211" priority="1147" operator="containsText" text="P7 (2015/ON HILL)">
      <formula>NOT(ISERROR(SEARCH("P7 (2015/ON HILL)",B84)))</formula>
    </cfRule>
    <cfRule type="containsText" dxfId="1210" priority="1148" operator="containsText" text="M (2015/NURSERY)">
      <formula>NOT(ISERROR(SEARCH("M (2015/NURSERY)",B84)))</formula>
    </cfRule>
    <cfRule type="containsText" dxfId="1209" priority="1149" operator="containsText" text="M (2016/PLOT3)">
      <formula>NOT(ISERROR(SEARCH("M (2016/PLOT3)",B84)))</formula>
    </cfRule>
    <cfRule type="containsText" dxfId="1208" priority="1150" operator="containsText" text="M (2017)">
      <formula>NOT(ISERROR(SEARCH("M (2017)",B84)))</formula>
    </cfRule>
    <cfRule type="containsText" dxfId="1207" priority="1151" operator="containsText" text="P1 (2017)">
      <formula>NOT(ISERROR(SEARCH("P1 (2017)",B84)))</formula>
    </cfRule>
  </conditionalFormatting>
  <conditionalFormatting sqref="B85">
    <cfRule type="expression" dxfId="1206" priority="1144">
      <formula>"P7 (2016)"</formula>
    </cfRule>
  </conditionalFormatting>
  <conditionalFormatting sqref="B85">
    <cfRule type="containsText" dxfId="1205" priority="1137" operator="containsText" text="P7 (2016)">
      <formula>NOT(ISERROR(SEARCH("P7 (2016)",B85)))</formula>
    </cfRule>
    <cfRule type="containsText" dxfId="1204" priority="1138" operator="containsText" text="NP">
      <formula>NOT(ISERROR(SEARCH("NP",B85)))</formula>
    </cfRule>
    <cfRule type="containsText" dxfId="1203" priority="1139" operator="containsText" text="P7 (2015/ON HILL)">
      <formula>NOT(ISERROR(SEARCH("P7 (2015/ON HILL)",B85)))</formula>
    </cfRule>
    <cfRule type="containsText" dxfId="1202" priority="1140" operator="containsText" text="M (2015/NURSERY)">
      <formula>NOT(ISERROR(SEARCH("M (2015/NURSERY)",B85)))</formula>
    </cfRule>
    <cfRule type="containsText" dxfId="1201" priority="1141" operator="containsText" text="M (2016/PLOT3)">
      <formula>NOT(ISERROR(SEARCH("M (2016/PLOT3)",B85)))</formula>
    </cfRule>
    <cfRule type="containsText" dxfId="1200" priority="1142" operator="containsText" text="M (2017)">
      <formula>NOT(ISERROR(SEARCH("M (2017)",B85)))</formula>
    </cfRule>
    <cfRule type="containsText" dxfId="1199" priority="1143" operator="containsText" text="P1 (2017)">
      <formula>NOT(ISERROR(SEARCH("P1 (2017)",B85)))</formula>
    </cfRule>
  </conditionalFormatting>
  <conditionalFormatting sqref="B87">
    <cfRule type="expression" dxfId="1198" priority="1136">
      <formula>"P7 (2016)"</formula>
    </cfRule>
  </conditionalFormatting>
  <conditionalFormatting sqref="B87">
    <cfRule type="containsText" dxfId="1197" priority="1129" operator="containsText" text="P7 (2016)">
      <formula>NOT(ISERROR(SEARCH("P7 (2016)",B87)))</formula>
    </cfRule>
    <cfRule type="containsText" dxfId="1196" priority="1130" operator="containsText" text="NP">
      <formula>NOT(ISERROR(SEARCH("NP",B87)))</formula>
    </cfRule>
    <cfRule type="containsText" dxfId="1195" priority="1131" operator="containsText" text="P7 (2015/ON HILL)">
      <formula>NOT(ISERROR(SEARCH("P7 (2015/ON HILL)",B87)))</formula>
    </cfRule>
    <cfRule type="containsText" dxfId="1194" priority="1132" operator="containsText" text="M (2015/NURSERY)">
      <formula>NOT(ISERROR(SEARCH("M (2015/NURSERY)",B87)))</formula>
    </cfRule>
    <cfRule type="containsText" dxfId="1193" priority="1133" operator="containsText" text="M (2016/PLOT3)">
      <formula>NOT(ISERROR(SEARCH("M (2016/PLOT3)",B87)))</formula>
    </cfRule>
    <cfRule type="containsText" dxfId="1192" priority="1134" operator="containsText" text="M (2017)">
      <formula>NOT(ISERROR(SEARCH("M (2017)",B87)))</formula>
    </cfRule>
    <cfRule type="containsText" dxfId="1191" priority="1135" operator="containsText" text="P1 (2017)">
      <formula>NOT(ISERROR(SEARCH("P1 (2017)",B87)))</formula>
    </cfRule>
  </conditionalFormatting>
  <conditionalFormatting sqref="B86">
    <cfRule type="expression" dxfId="1190" priority="1128">
      <formula>"P7 (2016)"</formula>
    </cfRule>
  </conditionalFormatting>
  <conditionalFormatting sqref="B86">
    <cfRule type="containsText" dxfId="1189" priority="1121" operator="containsText" text="P7 (2016)">
      <formula>NOT(ISERROR(SEARCH("P7 (2016)",B86)))</formula>
    </cfRule>
    <cfRule type="containsText" dxfId="1188" priority="1122" operator="containsText" text="NP">
      <formula>NOT(ISERROR(SEARCH("NP",B86)))</formula>
    </cfRule>
    <cfRule type="containsText" dxfId="1187" priority="1123" operator="containsText" text="P7 (2015/ON HILL)">
      <formula>NOT(ISERROR(SEARCH("P7 (2015/ON HILL)",B86)))</formula>
    </cfRule>
    <cfRule type="containsText" dxfId="1186" priority="1124" operator="containsText" text="M (2015/NURSERY)">
      <formula>NOT(ISERROR(SEARCH("M (2015/NURSERY)",B86)))</formula>
    </cfRule>
    <cfRule type="containsText" dxfId="1185" priority="1125" operator="containsText" text="M (2016/PLOT3)">
      <formula>NOT(ISERROR(SEARCH("M (2016/PLOT3)",B86)))</formula>
    </cfRule>
    <cfRule type="containsText" dxfId="1184" priority="1126" operator="containsText" text="M (2017)">
      <formula>NOT(ISERROR(SEARCH("M (2017)",B86)))</formula>
    </cfRule>
    <cfRule type="containsText" dxfId="1183" priority="1127" operator="containsText" text="P1 (2017)">
      <formula>NOT(ISERROR(SEARCH("P1 (2017)",B86)))</formula>
    </cfRule>
  </conditionalFormatting>
  <conditionalFormatting sqref="B88:B89">
    <cfRule type="expression" dxfId="1182" priority="1120">
      <formula>"P7 (2016)"</formula>
    </cfRule>
  </conditionalFormatting>
  <conditionalFormatting sqref="B88:B89">
    <cfRule type="containsText" dxfId="1181" priority="1113" operator="containsText" text="P7 (2016)">
      <formula>NOT(ISERROR(SEARCH("P7 (2016)",B88)))</formula>
    </cfRule>
    <cfRule type="containsText" dxfId="1180" priority="1114" operator="containsText" text="NP">
      <formula>NOT(ISERROR(SEARCH("NP",B88)))</formula>
    </cfRule>
    <cfRule type="containsText" dxfId="1179" priority="1115" operator="containsText" text="P7 (2015/ON HILL)">
      <formula>NOT(ISERROR(SEARCH("P7 (2015/ON HILL)",B88)))</formula>
    </cfRule>
    <cfRule type="containsText" dxfId="1178" priority="1116" operator="containsText" text="M (2015/NURSERY)">
      <formula>NOT(ISERROR(SEARCH("M (2015/NURSERY)",B88)))</formula>
    </cfRule>
    <cfRule type="containsText" dxfId="1177" priority="1117" operator="containsText" text="M (2016/PLOT3)">
      <formula>NOT(ISERROR(SEARCH("M (2016/PLOT3)",B88)))</formula>
    </cfRule>
    <cfRule type="containsText" dxfId="1176" priority="1118" operator="containsText" text="M (2017)">
      <formula>NOT(ISERROR(SEARCH("M (2017)",B88)))</formula>
    </cfRule>
    <cfRule type="containsText" dxfId="1175" priority="1119" operator="containsText" text="P1 (2017)">
      <formula>NOT(ISERROR(SEARCH("P1 (2017)",B88)))</formula>
    </cfRule>
  </conditionalFormatting>
  <conditionalFormatting sqref="B90:B92">
    <cfRule type="expression" dxfId="1174" priority="1112">
      <formula>"P7 (2016)"</formula>
    </cfRule>
  </conditionalFormatting>
  <conditionalFormatting sqref="B90:B92">
    <cfRule type="containsText" dxfId="1173" priority="1105" operator="containsText" text="P7 (2016)">
      <formula>NOT(ISERROR(SEARCH("P7 (2016)",B90)))</formula>
    </cfRule>
    <cfRule type="containsText" dxfId="1172" priority="1106" operator="containsText" text="NP">
      <formula>NOT(ISERROR(SEARCH("NP",B90)))</formula>
    </cfRule>
    <cfRule type="containsText" dxfId="1171" priority="1107" operator="containsText" text="P7 (2015/ON HILL)">
      <formula>NOT(ISERROR(SEARCH("P7 (2015/ON HILL)",B90)))</formula>
    </cfRule>
    <cfRule type="containsText" dxfId="1170" priority="1108" operator="containsText" text="M (2015/NURSERY)">
      <formula>NOT(ISERROR(SEARCH("M (2015/NURSERY)",B90)))</formula>
    </cfRule>
    <cfRule type="containsText" dxfId="1169" priority="1109" operator="containsText" text="M (2016/PLOT3)">
      <formula>NOT(ISERROR(SEARCH("M (2016/PLOT3)",B90)))</formula>
    </cfRule>
    <cfRule type="containsText" dxfId="1168" priority="1110" operator="containsText" text="M (2017)">
      <formula>NOT(ISERROR(SEARCH("M (2017)",B90)))</formula>
    </cfRule>
    <cfRule type="containsText" dxfId="1167" priority="1111" operator="containsText" text="P1 (2017)">
      <formula>NOT(ISERROR(SEARCH("P1 (2017)",B90)))</formula>
    </cfRule>
  </conditionalFormatting>
  <conditionalFormatting sqref="B89">
    <cfRule type="expression" dxfId="1166" priority="1104">
      <formula>"P7 (2016)"</formula>
    </cfRule>
  </conditionalFormatting>
  <conditionalFormatting sqref="B89">
    <cfRule type="containsText" dxfId="1165" priority="1097" operator="containsText" text="P7 (2016)">
      <formula>NOT(ISERROR(SEARCH("P7 (2016)",B89)))</formula>
    </cfRule>
    <cfRule type="containsText" dxfId="1164" priority="1098" operator="containsText" text="NP">
      <formula>NOT(ISERROR(SEARCH("NP",B89)))</formula>
    </cfRule>
    <cfRule type="containsText" dxfId="1163" priority="1099" operator="containsText" text="P7 (2015/ON HILL)">
      <formula>NOT(ISERROR(SEARCH("P7 (2015/ON HILL)",B89)))</formula>
    </cfRule>
    <cfRule type="containsText" dxfId="1162" priority="1100" operator="containsText" text="M (2015/NURSERY)">
      <formula>NOT(ISERROR(SEARCH("M (2015/NURSERY)",B89)))</formula>
    </cfRule>
    <cfRule type="containsText" dxfId="1161" priority="1101" operator="containsText" text="M (2016/PLOT3)">
      <formula>NOT(ISERROR(SEARCH("M (2016/PLOT3)",B89)))</formula>
    </cfRule>
    <cfRule type="containsText" dxfId="1160" priority="1102" operator="containsText" text="M (2017)">
      <formula>NOT(ISERROR(SEARCH("M (2017)",B89)))</formula>
    </cfRule>
    <cfRule type="containsText" dxfId="1159" priority="1103" operator="containsText" text="P1 (2017)">
      <formula>NOT(ISERROR(SEARCH("P1 (2017)",B89)))</formula>
    </cfRule>
  </conditionalFormatting>
  <conditionalFormatting sqref="B93">
    <cfRule type="expression" dxfId="1158" priority="1096">
      <formula>"P7 (2016)"</formula>
    </cfRule>
  </conditionalFormatting>
  <conditionalFormatting sqref="B93">
    <cfRule type="containsText" dxfId="1157" priority="1089" operator="containsText" text="P7 (2016)">
      <formula>NOT(ISERROR(SEARCH("P7 (2016)",B93)))</formula>
    </cfRule>
    <cfRule type="containsText" dxfId="1156" priority="1090" operator="containsText" text="NP">
      <formula>NOT(ISERROR(SEARCH("NP",B93)))</formula>
    </cfRule>
    <cfRule type="containsText" dxfId="1155" priority="1091" operator="containsText" text="P7 (2015/ON HILL)">
      <formula>NOT(ISERROR(SEARCH("P7 (2015/ON HILL)",B93)))</formula>
    </cfRule>
    <cfRule type="containsText" dxfId="1154" priority="1092" operator="containsText" text="M (2015/NURSERY)">
      <formula>NOT(ISERROR(SEARCH("M (2015/NURSERY)",B93)))</formula>
    </cfRule>
    <cfRule type="containsText" dxfId="1153" priority="1093" operator="containsText" text="M (2016/PLOT3)">
      <formula>NOT(ISERROR(SEARCH("M (2016/PLOT3)",B93)))</formula>
    </cfRule>
    <cfRule type="containsText" dxfId="1152" priority="1094" operator="containsText" text="M (2017)">
      <formula>NOT(ISERROR(SEARCH("M (2017)",B93)))</formula>
    </cfRule>
    <cfRule type="containsText" dxfId="1151" priority="1095" operator="containsText" text="P1 (2017)">
      <formula>NOT(ISERROR(SEARCH("P1 (2017)",B93)))</formula>
    </cfRule>
  </conditionalFormatting>
  <conditionalFormatting sqref="B94">
    <cfRule type="expression" dxfId="1150" priority="1088">
      <formula>"P7 (2016)"</formula>
    </cfRule>
  </conditionalFormatting>
  <conditionalFormatting sqref="B94">
    <cfRule type="containsText" dxfId="1149" priority="1081" operator="containsText" text="P7 (2016)">
      <formula>NOT(ISERROR(SEARCH("P7 (2016)",B94)))</formula>
    </cfRule>
    <cfRule type="containsText" dxfId="1148" priority="1082" operator="containsText" text="NP">
      <formula>NOT(ISERROR(SEARCH("NP",B94)))</formula>
    </cfRule>
    <cfRule type="containsText" dxfId="1147" priority="1083" operator="containsText" text="P7 (2015/ON HILL)">
      <formula>NOT(ISERROR(SEARCH("P7 (2015/ON HILL)",B94)))</formula>
    </cfRule>
    <cfRule type="containsText" dxfId="1146" priority="1084" operator="containsText" text="M (2015/NURSERY)">
      <formula>NOT(ISERROR(SEARCH("M (2015/NURSERY)",B94)))</formula>
    </cfRule>
    <cfRule type="containsText" dxfId="1145" priority="1085" operator="containsText" text="M (2016/PLOT3)">
      <formula>NOT(ISERROR(SEARCH("M (2016/PLOT3)",B94)))</formula>
    </cfRule>
    <cfRule type="containsText" dxfId="1144" priority="1086" operator="containsText" text="M (2017)">
      <formula>NOT(ISERROR(SEARCH("M (2017)",B94)))</formula>
    </cfRule>
    <cfRule type="containsText" dxfId="1143" priority="1087" operator="containsText" text="P1 (2017)">
      <formula>NOT(ISERROR(SEARCH("P1 (2017)",B94)))</formula>
    </cfRule>
  </conditionalFormatting>
  <conditionalFormatting sqref="B95:B97">
    <cfRule type="expression" dxfId="1142" priority="1080">
      <formula>"P7 (2016)"</formula>
    </cfRule>
  </conditionalFormatting>
  <conditionalFormatting sqref="B95:B97">
    <cfRule type="containsText" dxfId="1141" priority="1073" operator="containsText" text="P7 (2016)">
      <formula>NOT(ISERROR(SEARCH("P7 (2016)",B95)))</formula>
    </cfRule>
    <cfRule type="containsText" dxfId="1140" priority="1074" operator="containsText" text="NP">
      <formula>NOT(ISERROR(SEARCH("NP",B95)))</formula>
    </cfRule>
    <cfRule type="containsText" dxfId="1139" priority="1075" operator="containsText" text="P7 (2015/ON HILL)">
      <formula>NOT(ISERROR(SEARCH("P7 (2015/ON HILL)",B95)))</formula>
    </cfRule>
    <cfRule type="containsText" dxfId="1138" priority="1076" operator="containsText" text="M (2015/NURSERY)">
      <formula>NOT(ISERROR(SEARCH("M (2015/NURSERY)",B95)))</formula>
    </cfRule>
    <cfRule type="containsText" dxfId="1137" priority="1077" operator="containsText" text="M (2016/PLOT3)">
      <formula>NOT(ISERROR(SEARCH("M (2016/PLOT3)",B95)))</formula>
    </cfRule>
    <cfRule type="containsText" dxfId="1136" priority="1078" operator="containsText" text="M (2017)">
      <formula>NOT(ISERROR(SEARCH("M (2017)",B95)))</formula>
    </cfRule>
    <cfRule type="containsText" dxfId="1135" priority="1079" operator="containsText" text="P1 (2017)">
      <formula>NOT(ISERROR(SEARCH("P1 (2017)",B95)))</formula>
    </cfRule>
  </conditionalFormatting>
  <conditionalFormatting sqref="B98">
    <cfRule type="expression" dxfId="1134" priority="1072">
      <formula>"P7 (2016)"</formula>
    </cfRule>
  </conditionalFormatting>
  <conditionalFormatting sqref="B98">
    <cfRule type="containsText" dxfId="1133" priority="1065" operator="containsText" text="P7 (2016)">
      <formula>NOT(ISERROR(SEARCH("P7 (2016)",B98)))</formula>
    </cfRule>
    <cfRule type="containsText" dxfId="1132" priority="1066" operator="containsText" text="NP">
      <formula>NOT(ISERROR(SEARCH("NP",B98)))</formula>
    </cfRule>
    <cfRule type="containsText" dxfId="1131" priority="1067" operator="containsText" text="P7 (2015/ON HILL)">
      <formula>NOT(ISERROR(SEARCH("P7 (2015/ON HILL)",B98)))</formula>
    </cfRule>
    <cfRule type="containsText" dxfId="1130" priority="1068" operator="containsText" text="M (2015/NURSERY)">
      <formula>NOT(ISERROR(SEARCH("M (2015/NURSERY)",B98)))</formula>
    </cfRule>
    <cfRule type="containsText" dxfId="1129" priority="1069" operator="containsText" text="M (2016/PLOT3)">
      <formula>NOT(ISERROR(SEARCH("M (2016/PLOT3)",B98)))</formula>
    </cfRule>
    <cfRule type="containsText" dxfId="1128" priority="1070" operator="containsText" text="M (2017)">
      <formula>NOT(ISERROR(SEARCH("M (2017)",B98)))</formula>
    </cfRule>
    <cfRule type="containsText" dxfId="1127" priority="1071" operator="containsText" text="P1 (2017)">
      <formula>NOT(ISERROR(SEARCH("P1 (2017)",B98)))</formula>
    </cfRule>
  </conditionalFormatting>
  <conditionalFormatting sqref="B99">
    <cfRule type="expression" dxfId="1126" priority="1064">
      <formula>"P7 (2016)"</formula>
    </cfRule>
  </conditionalFormatting>
  <conditionalFormatting sqref="B99">
    <cfRule type="containsText" dxfId="1125" priority="1057" operator="containsText" text="P7 (2016)">
      <formula>NOT(ISERROR(SEARCH("P7 (2016)",B99)))</formula>
    </cfRule>
    <cfRule type="containsText" dxfId="1124" priority="1058" operator="containsText" text="NP">
      <formula>NOT(ISERROR(SEARCH("NP",B99)))</formula>
    </cfRule>
    <cfRule type="containsText" dxfId="1123" priority="1059" operator="containsText" text="P7 (2015/ON HILL)">
      <formula>NOT(ISERROR(SEARCH("P7 (2015/ON HILL)",B99)))</formula>
    </cfRule>
    <cfRule type="containsText" dxfId="1122" priority="1060" operator="containsText" text="M (2015/NURSERY)">
      <formula>NOT(ISERROR(SEARCH("M (2015/NURSERY)",B99)))</formula>
    </cfRule>
    <cfRule type="containsText" dxfId="1121" priority="1061" operator="containsText" text="M (2016/PLOT3)">
      <formula>NOT(ISERROR(SEARCH("M (2016/PLOT3)",B99)))</formula>
    </cfRule>
    <cfRule type="containsText" dxfId="1120" priority="1062" operator="containsText" text="M (2017)">
      <formula>NOT(ISERROR(SEARCH("M (2017)",B99)))</formula>
    </cfRule>
    <cfRule type="containsText" dxfId="1119" priority="1063" operator="containsText" text="P1 (2017)">
      <formula>NOT(ISERROR(SEARCH("P1 (2017)",B99)))</formula>
    </cfRule>
  </conditionalFormatting>
  <conditionalFormatting sqref="B101">
    <cfRule type="expression" dxfId="1118" priority="1056">
      <formula>"P7 (2016)"</formula>
    </cfRule>
  </conditionalFormatting>
  <conditionalFormatting sqref="B101">
    <cfRule type="containsText" dxfId="1117" priority="1049" operator="containsText" text="P7 (2016)">
      <formula>NOT(ISERROR(SEARCH("P7 (2016)",B101)))</formula>
    </cfRule>
    <cfRule type="containsText" dxfId="1116" priority="1050" operator="containsText" text="NP">
      <formula>NOT(ISERROR(SEARCH("NP",B101)))</formula>
    </cfRule>
    <cfRule type="containsText" dxfId="1115" priority="1051" operator="containsText" text="P7 (2015/ON HILL)">
      <formula>NOT(ISERROR(SEARCH("P7 (2015/ON HILL)",B101)))</formula>
    </cfRule>
    <cfRule type="containsText" dxfId="1114" priority="1052" operator="containsText" text="M (2015/NURSERY)">
      <formula>NOT(ISERROR(SEARCH("M (2015/NURSERY)",B101)))</formula>
    </cfRule>
    <cfRule type="containsText" dxfId="1113" priority="1053" operator="containsText" text="M (2016/PLOT3)">
      <formula>NOT(ISERROR(SEARCH("M (2016/PLOT3)",B101)))</formula>
    </cfRule>
    <cfRule type="containsText" dxfId="1112" priority="1054" operator="containsText" text="M (2017)">
      <formula>NOT(ISERROR(SEARCH("M (2017)",B101)))</formula>
    </cfRule>
    <cfRule type="containsText" dxfId="1111" priority="1055" operator="containsText" text="P1 (2017)">
      <formula>NOT(ISERROR(SEARCH("P1 (2017)",B101)))</formula>
    </cfRule>
  </conditionalFormatting>
  <conditionalFormatting sqref="B100">
    <cfRule type="expression" dxfId="1110" priority="1048">
      <formula>"P7 (2016)"</formula>
    </cfRule>
  </conditionalFormatting>
  <conditionalFormatting sqref="B100">
    <cfRule type="containsText" dxfId="1109" priority="1041" operator="containsText" text="P7 (2016)">
      <formula>NOT(ISERROR(SEARCH("P7 (2016)",B100)))</formula>
    </cfRule>
    <cfRule type="containsText" dxfId="1108" priority="1042" operator="containsText" text="NP">
      <formula>NOT(ISERROR(SEARCH("NP",B100)))</formula>
    </cfRule>
    <cfRule type="containsText" dxfId="1107" priority="1043" operator="containsText" text="P7 (2015/ON HILL)">
      <formula>NOT(ISERROR(SEARCH("P7 (2015/ON HILL)",B100)))</formula>
    </cfRule>
    <cfRule type="containsText" dxfId="1106" priority="1044" operator="containsText" text="M (2015/NURSERY)">
      <formula>NOT(ISERROR(SEARCH("M (2015/NURSERY)",B100)))</formula>
    </cfRule>
    <cfRule type="containsText" dxfId="1105" priority="1045" operator="containsText" text="M (2016/PLOT3)">
      <formula>NOT(ISERROR(SEARCH("M (2016/PLOT3)",B100)))</formula>
    </cfRule>
    <cfRule type="containsText" dxfId="1104" priority="1046" operator="containsText" text="M (2017)">
      <formula>NOT(ISERROR(SEARCH("M (2017)",B100)))</formula>
    </cfRule>
    <cfRule type="containsText" dxfId="1103" priority="1047" operator="containsText" text="P1 (2017)">
      <formula>NOT(ISERROR(SEARCH("P1 (2017)",B100)))</formula>
    </cfRule>
  </conditionalFormatting>
  <conditionalFormatting sqref="B102">
    <cfRule type="expression" dxfId="1102" priority="1040">
      <formula>"P7 (2016)"</formula>
    </cfRule>
  </conditionalFormatting>
  <conditionalFormatting sqref="B102">
    <cfRule type="containsText" dxfId="1101" priority="1033" operator="containsText" text="P7 (2016)">
      <formula>NOT(ISERROR(SEARCH("P7 (2016)",B102)))</formula>
    </cfRule>
    <cfRule type="containsText" dxfId="1100" priority="1034" operator="containsText" text="NP">
      <formula>NOT(ISERROR(SEARCH("NP",B102)))</formula>
    </cfRule>
    <cfRule type="containsText" dxfId="1099" priority="1035" operator="containsText" text="P7 (2015/ON HILL)">
      <formula>NOT(ISERROR(SEARCH("P7 (2015/ON HILL)",B102)))</formula>
    </cfRule>
    <cfRule type="containsText" dxfId="1098" priority="1036" operator="containsText" text="M (2015/NURSERY)">
      <formula>NOT(ISERROR(SEARCH("M (2015/NURSERY)",B102)))</formula>
    </cfRule>
    <cfRule type="containsText" dxfId="1097" priority="1037" operator="containsText" text="M (2016/PLOT3)">
      <formula>NOT(ISERROR(SEARCH("M (2016/PLOT3)",B102)))</formula>
    </cfRule>
    <cfRule type="containsText" dxfId="1096" priority="1038" operator="containsText" text="M (2017)">
      <formula>NOT(ISERROR(SEARCH("M (2017)",B102)))</formula>
    </cfRule>
    <cfRule type="containsText" dxfId="1095" priority="1039" operator="containsText" text="P1 (2017)">
      <formula>NOT(ISERROR(SEARCH("P1 (2017)",B102)))</formula>
    </cfRule>
  </conditionalFormatting>
  <conditionalFormatting sqref="B104">
    <cfRule type="expression" dxfId="1094" priority="1032">
      <formula>"P7 (2016)"</formula>
    </cfRule>
  </conditionalFormatting>
  <conditionalFormatting sqref="B104">
    <cfRule type="containsText" dxfId="1093" priority="1025" operator="containsText" text="P7 (2016)">
      <formula>NOT(ISERROR(SEARCH("P7 (2016)",B104)))</formula>
    </cfRule>
    <cfRule type="containsText" dxfId="1092" priority="1026" operator="containsText" text="NP">
      <formula>NOT(ISERROR(SEARCH("NP",B104)))</formula>
    </cfRule>
    <cfRule type="containsText" dxfId="1091" priority="1027" operator="containsText" text="P7 (2015/ON HILL)">
      <formula>NOT(ISERROR(SEARCH("P7 (2015/ON HILL)",B104)))</formula>
    </cfRule>
    <cfRule type="containsText" dxfId="1090" priority="1028" operator="containsText" text="M (2015/NURSERY)">
      <formula>NOT(ISERROR(SEARCH("M (2015/NURSERY)",B104)))</formula>
    </cfRule>
    <cfRule type="containsText" dxfId="1089" priority="1029" operator="containsText" text="M (2016/PLOT3)">
      <formula>NOT(ISERROR(SEARCH("M (2016/PLOT3)",B104)))</formula>
    </cfRule>
    <cfRule type="containsText" dxfId="1088" priority="1030" operator="containsText" text="M (2017)">
      <formula>NOT(ISERROR(SEARCH("M (2017)",B104)))</formula>
    </cfRule>
    <cfRule type="containsText" dxfId="1087" priority="1031" operator="containsText" text="P1 (2017)">
      <formula>NOT(ISERROR(SEARCH("P1 (2017)",B104)))</formula>
    </cfRule>
  </conditionalFormatting>
  <conditionalFormatting sqref="B105">
    <cfRule type="expression" dxfId="1086" priority="1024">
      <formula>"P7 (2016)"</formula>
    </cfRule>
  </conditionalFormatting>
  <conditionalFormatting sqref="B105">
    <cfRule type="containsText" dxfId="1085" priority="1017" operator="containsText" text="P7 (2016)">
      <formula>NOT(ISERROR(SEARCH("P7 (2016)",B105)))</formula>
    </cfRule>
    <cfRule type="containsText" dxfId="1084" priority="1018" operator="containsText" text="NP">
      <formula>NOT(ISERROR(SEARCH("NP",B105)))</formula>
    </cfRule>
    <cfRule type="containsText" dxfId="1083" priority="1019" operator="containsText" text="P7 (2015/ON HILL)">
      <formula>NOT(ISERROR(SEARCH("P7 (2015/ON HILL)",B105)))</formula>
    </cfRule>
    <cfRule type="containsText" dxfId="1082" priority="1020" operator="containsText" text="M (2015/NURSERY)">
      <formula>NOT(ISERROR(SEARCH("M (2015/NURSERY)",B105)))</formula>
    </cfRule>
    <cfRule type="containsText" dxfId="1081" priority="1021" operator="containsText" text="M (2016/PLOT3)">
      <formula>NOT(ISERROR(SEARCH("M (2016/PLOT3)",B105)))</formula>
    </cfRule>
    <cfRule type="containsText" dxfId="1080" priority="1022" operator="containsText" text="M (2017)">
      <formula>NOT(ISERROR(SEARCH("M (2017)",B105)))</formula>
    </cfRule>
    <cfRule type="containsText" dxfId="1079" priority="1023" operator="containsText" text="P1 (2017)">
      <formula>NOT(ISERROR(SEARCH("P1 (2017)",B105)))</formula>
    </cfRule>
  </conditionalFormatting>
  <conditionalFormatting sqref="B106">
    <cfRule type="expression" dxfId="1078" priority="1016">
      <formula>"P7 (2016)"</formula>
    </cfRule>
  </conditionalFormatting>
  <conditionalFormatting sqref="B106">
    <cfRule type="containsText" dxfId="1077" priority="1009" operator="containsText" text="P7 (2016)">
      <formula>NOT(ISERROR(SEARCH("P7 (2016)",B106)))</formula>
    </cfRule>
    <cfRule type="containsText" dxfId="1076" priority="1010" operator="containsText" text="NP">
      <formula>NOT(ISERROR(SEARCH("NP",B106)))</formula>
    </cfRule>
    <cfRule type="containsText" dxfId="1075" priority="1011" operator="containsText" text="P7 (2015/ON HILL)">
      <formula>NOT(ISERROR(SEARCH("P7 (2015/ON HILL)",B106)))</formula>
    </cfRule>
    <cfRule type="containsText" dxfId="1074" priority="1012" operator="containsText" text="M (2015/NURSERY)">
      <formula>NOT(ISERROR(SEARCH("M (2015/NURSERY)",B106)))</formula>
    </cfRule>
    <cfRule type="containsText" dxfId="1073" priority="1013" operator="containsText" text="M (2016/PLOT3)">
      <formula>NOT(ISERROR(SEARCH("M (2016/PLOT3)",B106)))</formula>
    </cfRule>
    <cfRule type="containsText" dxfId="1072" priority="1014" operator="containsText" text="M (2017)">
      <formula>NOT(ISERROR(SEARCH("M (2017)",B106)))</formula>
    </cfRule>
    <cfRule type="containsText" dxfId="1071" priority="1015" operator="containsText" text="P1 (2017)">
      <formula>NOT(ISERROR(SEARCH("P1 (2017)",B106)))</formula>
    </cfRule>
  </conditionalFormatting>
  <conditionalFormatting sqref="B107">
    <cfRule type="expression" dxfId="1070" priority="1008">
      <formula>"P7 (2016)"</formula>
    </cfRule>
  </conditionalFormatting>
  <conditionalFormatting sqref="B107">
    <cfRule type="containsText" dxfId="1069" priority="1001" operator="containsText" text="P7 (2016)">
      <formula>NOT(ISERROR(SEARCH("P7 (2016)",B107)))</formula>
    </cfRule>
    <cfRule type="containsText" dxfId="1068" priority="1002" operator="containsText" text="NP">
      <formula>NOT(ISERROR(SEARCH("NP",B107)))</formula>
    </cfRule>
    <cfRule type="containsText" dxfId="1067" priority="1003" operator="containsText" text="P7 (2015/ON HILL)">
      <formula>NOT(ISERROR(SEARCH("P7 (2015/ON HILL)",B107)))</formula>
    </cfRule>
    <cfRule type="containsText" dxfId="1066" priority="1004" operator="containsText" text="M (2015/NURSERY)">
      <formula>NOT(ISERROR(SEARCH("M (2015/NURSERY)",B107)))</formula>
    </cfRule>
    <cfRule type="containsText" dxfId="1065" priority="1005" operator="containsText" text="M (2016/PLOT3)">
      <formula>NOT(ISERROR(SEARCH("M (2016/PLOT3)",B107)))</formula>
    </cfRule>
    <cfRule type="containsText" dxfId="1064" priority="1006" operator="containsText" text="M (2017)">
      <formula>NOT(ISERROR(SEARCH("M (2017)",B107)))</formula>
    </cfRule>
    <cfRule type="containsText" dxfId="1063" priority="1007" operator="containsText" text="P1 (2017)">
      <formula>NOT(ISERROR(SEARCH("P1 (2017)",B107)))</formula>
    </cfRule>
  </conditionalFormatting>
  <conditionalFormatting sqref="B109">
    <cfRule type="expression" dxfId="1062" priority="1000">
      <formula>"P7 (2016)"</formula>
    </cfRule>
  </conditionalFormatting>
  <conditionalFormatting sqref="B109">
    <cfRule type="containsText" dxfId="1061" priority="993" operator="containsText" text="P7 (2016)">
      <formula>NOT(ISERROR(SEARCH("P7 (2016)",B109)))</formula>
    </cfRule>
    <cfRule type="containsText" dxfId="1060" priority="994" operator="containsText" text="NP">
      <formula>NOT(ISERROR(SEARCH("NP",B109)))</formula>
    </cfRule>
    <cfRule type="containsText" dxfId="1059" priority="995" operator="containsText" text="P7 (2015/ON HILL)">
      <formula>NOT(ISERROR(SEARCH("P7 (2015/ON HILL)",B109)))</formula>
    </cfRule>
    <cfRule type="containsText" dxfId="1058" priority="996" operator="containsText" text="M (2015/NURSERY)">
      <formula>NOT(ISERROR(SEARCH("M (2015/NURSERY)",B109)))</formula>
    </cfRule>
    <cfRule type="containsText" dxfId="1057" priority="997" operator="containsText" text="M (2016/PLOT3)">
      <formula>NOT(ISERROR(SEARCH("M (2016/PLOT3)",B109)))</formula>
    </cfRule>
    <cfRule type="containsText" dxfId="1056" priority="998" operator="containsText" text="M (2017)">
      <formula>NOT(ISERROR(SEARCH("M (2017)",B109)))</formula>
    </cfRule>
    <cfRule type="containsText" dxfId="1055" priority="999" operator="containsText" text="P1 (2017)">
      <formula>NOT(ISERROR(SEARCH("P1 (2017)",B109)))</formula>
    </cfRule>
  </conditionalFormatting>
  <conditionalFormatting sqref="B108">
    <cfRule type="expression" dxfId="1054" priority="992">
      <formula>"P7 (2016)"</formula>
    </cfRule>
  </conditionalFormatting>
  <conditionalFormatting sqref="B108">
    <cfRule type="containsText" dxfId="1053" priority="985" operator="containsText" text="P7 (2016)">
      <formula>NOT(ISERROR(SEARCH("P7 (2016)",B108)))</formula>
    </cfRule>
    <cfRule type="containsText" dxfId="1052" priority="986" operator="containsText" text="NP">
      <formula>NOT(ISERROR(SEARCH("NP",B108)))</formula>
    </cfRule>
    <cfRule type="containsText" dxfId="1051" priority="987" operator="containsText" text="P7 (2015/ON HILL)">
      <formula>NOT(ISERROR(SEARCH("P7 (2015/ON HILL)",B108)))</formula>
    </cfRule>
    <cfRule type="containsText" dxfId="1050" priority="988" operator="containsText" text="M (2015/NURSERY)">
      <formula>NOT(ISERROR(SEARCH("M (2015/NURSERY)",B108)))</formula>
    </cfRule>
    <cfRule type="containsText" dxfId="1049" priority="989" operator="containsText" text="M (2016/PLOT3)">
      <formula>NOT(ISERROR(SEARCH("M (2016/PLOT3)",B108)))</formula>
    </cfRule>
    <cfRule type="containsText" dxfId="1048" priority="990" operator="containsText" text="M (2017)">
      <formula>NOT(ISERROR(SEARCH("M (2017)",B108)))</formula>
    </cfRule>
    <cfRule type="containsText" dxfId="1047" priority="991" operator="containsText" text="P1 (2017)">
      <formula>NOT(ISERROR(SEARCH("P1 (2017)",B108)))</formula>
    </cfRule>
  </conditionalFormatting>
  <conditionalFormatting sqref="B110:B120">
    <cfRule type="expression" dxfId="1046" priority="984">
      <formula>"P7 (2016)"</formula>
    </cfRule>
  </conditionalFormatting>
  <conditionalFormatting sqref="B110:B120">
    <cfRule type="containsText" dxfId="1045" priority="977" operator="containsText" text="P7 (2016)">
      <formula>NOT(ISERROR(SEARCH("P7 (2016)",B110)))</formula>
    </cfRule>
    <cfRule type="containsText" dxfId="1044" priority="978" operator="containsText" text="NP">
      <formula>NOT(ISERROR(SEARCH("NP",B110)))</formula>
    </cfRule>
    <cfRule type="containsText" dxfId="1043" priority="979" operator="containsText" text="P7 (2015/ON HILL)">
      <formula>NOT(ISERROR(SEARCH("P7 (2015/ON HILL)",B110)))</formula>
    </cfRule>
    <cfRule type="containsText" dxfId="1042" priority="980" operator="containsText" text="M (2015/NURSERY)">
      <formula>NOT(ISERROR(SEARCH("M (2015/NURSERY)",B110)))</formula>
    </cfRule>
    <cfRule type="containsText" dxfId="1041" priority="981" operator="containsText" text="M (2016/PLOT3)">
      <formula>NOT(ISERROR(SEARCH("M (2016/PLOT3)",B110)))</formula>
    </cfRule>
    <cfRule type="containsText" dxfId="1040" priority="982" operator="containsText" text="M (2017)">
      <formula>NOT(ISERROR(SEARCH("M (2017)",B110)))</formula>
    </cfRule>
    <cfRule type="containsText" dxfId="1039" priority="983" operator="containsText" text="P1 (2017)">
      <formula>NOT(ISERROR(SEARCH("P1 (2017)",B110)))</formula>
    </cfRule>
  </conditionalFormatting>
  <conditionalFormatting sqref="B121:B122">
    <cfRule type="expression" dxfId="1038" priority="976">
      <formula>"P7 (2016)"</formula>
    </cfRule>
  </conditionalFormatting>
  <conditionalFormatting sqref="B121:B122">
    <cfRule type="containsText" dxfId="1037" priority="969" operator="containsText" text="P7 (2016)">
      <formula>NOT(ISERROR(SEARCH("P7 (2016)",B121)))</formula>
    </cfRule>
    <cfRule type="containsText" dxfId="1036" priority="970" operator="containsText" text="NP">
      <formula>NOT(ISERROR(SEARCH("NP",B121)))</formula>
    </cfRule>
    <cfRule type="containsText" dxfId="1035" priority="971" operator="containsText" text="P7 (2015/ON HILL)">
      <formula>NOT(ISERROR(SEARCH("P7 (2015/ON HILL)",B121)))</formula>
    </cfRule>
    <cfRule type="containsText" dxfId="1034" priority="972" operator="containsText" text="M (2015/NURSERY)">
      <formula>NOT(ISERROR(SEARCH("M (2015/NURSERY)",B121)))</formula>
    </cfRule>
    <cfRule type="containsText" dxfId="1033" priority="973" operator="containsText" text="M (2016/PLOT3)">
      <formula>NOT(ISERROR(SEARCH("M (2016/PLOT3)",B121)))</formula>
    </cfRule>
    <cfRule type="containsText" dxfId="1032" priority="974" operator="containsText" text="M (2017)">
      <formula>NOT(ISERROR(SEARCH("M (2017)",B121)))</formula>
    </cfRule>
    <cfRule type="containsText" dxfId="1031" priority="975" operator="containsText" text="P1 (2017)">
      <formula>NOT(ISERROR(SEARCH("P1 (2017)",B121)))</formula>
    </cfRule>
  </conditionalFormatting>
  <conditionalFormatting sqref="B123">
    <cfRule type="expression" dxfId="1030" priority="968">
      <formula>"P7 (2016)"</formula>
    </cfRule>
  </conditionalFormatting>
  <conditionalFormatting sqref="B123">
    <cfRule type="containsText" dxfId="1029" priority="961" operator="containsText" text="P7 (2016)">
      <formula>NOT(ISERROR(SEARCH("P7 (2016)",B123)))</formula>
    </cfRule>
    <cfRule type="containsText" dxfId="1028" priority="962" operator="containsText" text="NP">
      <formula>NOT(ISERROR(SEARCH("NP",B123)))</formula>
    </cfRule>
    <cfRule type="containsText" dxfId="1027" priority="963" operator="containsText" text="P7 (2015/ON HILL)">
      <formula>NOT(ISERROR(SEARCH("P7 (2015/ON HILL)",B123)))</formula>
    </cfRule>
    <cfRule type="containsText" dxfId="1026" priority="964" operator="containsText" text="M (2015/NURSERY)">
      <formula>NOT(ISERROR(SEARCH("M (2015/NURSERY)",B123)))</formula>
    </cfRule>
    <cfRule type="containsText" dxfId="1025" priority="965" operator="containsText" text="M (2016/PLOT3)">
      <formula>NOT(ISERROR(SEARCH("M (2016/PLOT3)",B123)))</formula>
    </cfRule>
    <cfRule type="containsText" dxfId="1024" priority="966" operator="containsText" text="M (2017)">
      <formula>NOT(ISERROR(SEARCH("M (2017)",B123)))</formula>
    </cfRule>
    <cfRule type="containsText" dxfId="1023" priority="967" operator="containsText" text="P1 (2017)">
      <formula>NOT(ISERROR(SEARCH("P1 (2017)",B123)))</formula>
    </cfRule>
  </conditionalFormatting>
  <conditionalFormatting sqref="B124">
    <cfRule type="expression" dxfId="1022" priority="960">
      <formula>"P7 (2016)"</formula>
    </cfRule>
  </conditionalFormatting>
  <conditionalFormatting sqref="B124">
    <cfRule type="containsText" dxfId="1021" priority="953" operator="containsText" text="P7 (2016)">
      <formula>NOT(ISERROR(SEARCH("P7 (2016)",B124)))</formula>
    </cfRule>
    <cfRule type="containsText" dxfId="1020" priority="954" operator="containsText" text="NP">
      <formula>NOT(ISERROR(SEARCH("NP",B124)))</formula>
    </cfRule>
    <cfRule type="containsText" dxfId="1019" priority="955" operator="containsText" text="P7 (2015/ON HILL)">
      <formula>NOT(ISERROR(SEARCH("P7 (2015/ON HILL)",B124)))</formula>
    </cfRule>
    <cfRule type="containsText" dxfId="1018" priority="956" operator="containsText" text="M (2015/NURSERY)">
      <formula>NOT(ISERROR(SEARCH("M (2015/NURSERY)",B124)))</formula>
    </cfRule>
    <cfRule type="containsText" dxfId="1017" priority="957" operator="containsText" text="M (2016/PLOT3)">
      <formula>NOT(ISERROR(SEARCH("M (2016/PLOT3)",B124)))</formula>
    </cfRule>
    <cfRule type="containsText" dxfId="1016" priority="958" operator="containsText" text="M (2017)">
      <formula>NOT(ISERROR(SEARCH("M (2017)",B124)))</formula>
    </cfRule>
    <cfRule type="containsText" dxfId="1015" priority="959" operator="containsText" text="P1 (2017)">
      <formula>NOT(ISERROR(SEARCH("P1 (2017)",B124)))</formula>
    </cfRule>
  </conditionalFormatting>
  <conditionalFormatting sqref="B137">
    <cfRule type="expression" dxfId="1014" priority="952">
      <formula>"P7 (2016)"</formula>
    </cfRule>
  </conditionalFormatting>
  <conditionalFormatting sqref="B137">
    <cfRule type="containsText" dxfId="1013" priority="945" operator="containsText" text="P7 (2016)">
      <formula>NOT(ISERROR(SEARCH("P7 (2016)",B137)))</formula>
    </cfRule>
    <cfRule type="containsText" dxfId="1012" priority="946" operator="containsText" text="NP">
      <formula>NOT(ISERROR(SEARCH("NP",B137)))</formula>
    </cfRule>
    <cfRule type="containsText" dxfId="1011" priority="947" operator="containsText" text="P7 (2015/ON HILL)">
      <formula>NOT(ISERROR(SEARCH("P7 (2015/ON HILL)",B137)))</formula>
    </cfRule>
    <cfRule type="containsText" dxfId="1010" priority="948" operator="containsText" text="M (2015/NURSERY)">
      <formula>NOT(ISERROR(SEARCH("M (2015/NURSERY)",B137)))</formula>
    </cfRule>
    <cfRule type="containsText" dxfId="1009" priority="949" operator="containsText" text="M (2016/PLOT3)">
      <formula>NOT(ISERROR(SEARCH("M (2016/PLOT3)",B137)))</formula>
    </cfRule>
    <cfRule type="containsText" dxfId="1008" priority="950" operator="containsText" text="M (2017)">
      <formula>NOT(ISERROR(SEARCH("M (2017)",B137)))</formula>
    </cfRule>
    <cfRule type="containsText" dxfId="1007" priority="951" operator="containsText" text="P1 (2017)">
      <formula>NOT(ISERROR(SEARCH("P1 (2017)",B137)))</formula>
    </cfRule>
  </conditionalFormatting>
  <conditionalFormatting sqref="B138">
    <cfRule type="expression" dxfId="1006" priority="944">
      <formula>"P7 (2016)"</formula>
    </cfRule>
  </conditionalFormatting>
  <conditionalFormatting sqref="B138">
    <cfRule type="containsText" dxfId="1005" priority="937" operator="containsText" text="P7 (2016)">
      <formula>NOT(ISERROR(SEARCH("P7 (2016)",B138)))</formula>
    </cfRule>
    <cfRule type="containsText" dxfId="1004" priority="938" operator="containsText" text="NP">
      <formula>NOT(ISERROR(SEARCH("NP",B138)))</formula>
    </cfRule>
    <cfRule type="containsText" dxfId="1003" priority="939" operator="containsText" text="P7 (2015/ON HILL)">
      <formula>NOT(ISERROR(SEARCH("P7 (2015/ON HILL)",B138)))</formula>
    </cfRule>
    <cfRule type="containsText" dxfId="1002" priority="940" operator="containsText" text="M (2015/NURSERY)">
      <formula>NOT(ISERROR(SEARCH("M (2015/NURSERY)",B138)))</formula>
    </cfRule>
    <cfRule type="containsText" dxfId="1001" priority="941" operator="containsText" text="M (2016/PLOT3)">
      <formula>NOT(ISERROR(SEARCH("M (2016/PLOT3)",B138)))</formula>
    </cfRule>
    <cfRule type="containsText" dxfId="1000" priority="942" operator="containsText" text="M (2017)">
      <formula>NOT(ISERROR(SEARCH("M (2017)",B138)))</formula>
    </cfRule>
    <cfRule type="containsText" dxfId="999" priority="943" operator="containsText" text="P1 (2017)">
      <formula>NOT(ISERROR(SEARCH("P1 (2017)",B138)))</formula>
    </cfRule>
  </conditionalFormatting>
  <conditionalFormatting sqref="B143">
    <cfRule type="expression" dxfId="998" priority="936">
      <formula>"P7 (2016)"</formula>
    </cfRule>
  </conditionalFormatting>
  <conditionalFormatting sqref="B143">
    <cfRule type="containsText" dxfId="997" priority="929" operator="containsText" text="P7 (2016)">
      <formula>NOT(ISERROR(SEARCH("P7 (2016)",B143)))</formula>
    </cfRule>
    <cfRule type="containsText" dxfId="996" priority="930" operator="containsText" text="NP">
      <formula>NOT(ISERROR(SEARCH("NP",B143)))</formula>
    </cfRule>
    <cfRule type="containsText" dxfId="995" priority="931" operator="containsText" text="P7 (2015/ON HILL)">
      <formula>NOT(ISERROR(SEARCH("P7 (2015/ON HILL)",B143)))</formula>
    </cfRule>
    <cfRule type="containsText" dxfId="994" priority="932" operator="containsText" text="M (2015/NURSERY)">
      <formula>NOT(ISERROR(SEARCH("M (2015/NURSERY)",B143)))</formula>
    </cfRule>
    <cfRule type="containsText" dxfId="993" priority="933" operator="containsText" text="M (2016/PLOT3)">
      <formula>NOT(ISERROR(SEARCH("M (2016/PLOT3)",B143)))</formula>
    </cfRule>
    <cfRule type="containsText" dxfId="992" priority="934" operator="containsText" text="M (2017)">
      <formula>NOT(ISERROR(SEARCH("M (2017)",B143)))</formula>
    </cfRule>
    <cfRule type="containsText" dxfId="991" priority="935" operator="containsText" text="P1 (2017)">
      <formula>NOT(ISERROR(SEARCH("P1 (2017)",B143)))</formula>
    </cfRule>
  </conditionalFormatting>
  <conditionalFormatting sqref="B144">
    <cfRule type="expression" dxfId="990" priority="928">
      <formula>"P7 (2016)"</formula>
    </cfRule>
  </conditionalFormatting>
  <conditionalFormatting sqref="B144">
    <cfRule type="containsText" dxfId="989" priority="921" operator="containsText" text="P7 (2016)">
      <formula>NOT(ISERROR(SEARCH("P7 (2016)",B144)))</formula>
    </cfRule>
    <cfRule type="containsText" dxfId="988" priority="922" operator="containsText" text="NP">
      <formula>NOT(ISERROR(SEARCH("NP",B144)))</formula>
    </cfRule>
    <cfRule type="containsText" dxfId="987" priority="923" operator="containsText" text="P7 (2015/ON HILL)">
      <formula>NOT(ISERROR(SEARCH("P7 (2015/ON HILL)",B144)))</formula>
    </cfRule>
    <cfRule type="containsText" dxfId="986" priority="924" operator="containsText" text="M (2015/NURSERY)">
      <formula>NOT(ISERROR(SEARCH("M (2015/NURSERY)",B144)))</formula>
    </cfRule>
    <cfRule type="containsText" dxfId="985" priority="925" operator="containsText" text="M (2016/PLOT3)">
      <formula>NOT(ISERROR(SEARCH("M (2016/PLOT3)",B144)))</formula>
    </cfRule>
    <cfRule type="containsText" dxfId="984" priority="926" operator="containsText" text="M (2017)">
      <formula>NOT(ISERROR(SEARCH("M (2017)",B144)))</formula>
    </cfRule>
    <cfRule type="containsText" dxfId="983" priority="927" operator="containsText" text="P1 (2017)">
      <formula>NOT(ISERROR(SEARCH("P1 (2017)",B144)))</formula>
    </cfRule>
  </conditionalFormatting>
  <conditionalFormatting sqref="B145">
    <cfRule type="expression" dxfId="982" priority="920">
      <formula>"P7 (2016)"</formula>
    </cfRule>
  </conditionalFormatting>
  <conditionalFormatting sqref="B145">
    <cfRule type="containsText" dxfId="981" priority="913" operator="containsText" text="P7 (2016)">
      <formula>NOT(ISERROR(SEARCH("P7 (2016)",B145)))</formula>
    </cfRule>
    <cfRule type="containsText" dxfId="980" priority="914" operator="containsText" text="NP">
      <formula>NOT(ISERROR(SEARCH("NP",B145)))</formula>
    </cfRule>
    <cfRule type="containsText" dxfId="979" priority="915" operator="containsText" text="P7 (2015/ON HILL)">
      <formula>NOT(ISERROR(SEARCH("P7 (2015/ON HILL)",B145)))</formula>
    </cfRule>
    <cfRule type="containsText" dxfId="978" priority="916" operator="containsText" text="M (2015/NURSERY)">
      <formula>NOT(ISERROR(SEARCH("M (2015/NURSERY)",B145)))</formula>
    </cfRule>
    <cfRule type="containsText" dxfId="977" priority="917" operator="containsText" text="M (2016/PLOT3)">
      <formula>NOT(ISERROR(SEARCH("M (2016/PLOT3)",B145)))</formula>
    </cfRule>
    <cfRule type="containsText" dxfId="976" priority="918" operator="containsText" text="M (2017)">
      <formula>NOT(ISERROR(SEARCH("M (2017)",B145)))</formula>
    </cfRule>
    <cfRule type="containsText" dxfId="975" priority="919" operator="containsText" text="P1 (2017)">
      <formula>NOT(ISERROR(SEARCH("P1 (2017)",B145)))</formula>
    </cfRule>
  </conditionalFormatting>
  <conditionalFormatting sqref="B146">
    <cfRule type="expression" dxfId="974" priority="912">
      <formula>"P7 (2016)"</formula>
    </cfRule>
  </conditionalFormatting>
  <conditionalFormatting sqref="B146">
    <cfRule type="containsText" dxfId="973" priority="905" operator="containsText" text="P7 (2016)">
      <formula>NOT(ISERROR(SEARCH("P7 (2016)",B146)))</formula>
    </cfRule>
    <cfRule type="containsText" dxfId="972" priority="906" operator="containsText" text="NP">
      <formula>NOT(ISERROR(SEARCH("NP",B146)))</formula>
    </cfRule>
    <cfRule type="containsText" dxfId="971" priority="907" operator="containsText" text="P7 (2015/ON HILL)">
      <formula>NOT(ISERROR(SEARCH("P7 (2015/ON HILL)",B146)))</formula>
    </cfRule>
    <cfRule type="containsText" dxfId="970" priority="908" operator="containsText" text="M (2015/NURSERY)">
      <formula>NOT(ISERROR(SEARCH("M (2015/NURSERY)",B146)))</formula>
    </cfRule>
    <cfRule type="containsText" dxfId="969" priority="909" operator="containsText" text="M (2016/PLOT3)">
      <formula>NOT(ISERROR(SEARCH("M (2016/PLOT3)",B146)))</formula>
    </cfRule>
    <cfRule type="containsText" dxfId="968" priority="910" operator="containsText" text="M (2017)">
      <formula>NOT(ISERROR(SEARCH("M (2017)",B146)))</formula>
    </cfRule>
    <cfRule type="containsText" dxfId="967" priority="911" operator="containsText" text="P1 (2017)">
      <formula>NOT(ISERROR(SEARCH("P1 (2017)",B146)))</formula>
    </cfRule>
  </conditionalFormatting>
  <conditionalFormatting sqref="B148">
    <cfRule type="expression" dxfId="966" priority="904">
      <formula>"P7 (2016)"</formula>
    </cfRule>
  </conditionalFormatting>
  <conditionalFormatting sqref="B148">
    <cfRule type="containsText" dxfId="965" priority="897" operator="containsText" text="P7 (2016)">
      <formula>NOT(ISERROR(SEARCH("P7 (2016)",B148)))</formula>
    </cfRule>
    <cfRule type="containsText" dxfId="964" priority="898" operator="containsText" text="NP">
      <formula>NOT(ISERROR(SEARCH("NP",B148)))</formula>
    </cfRule>
    <cfRule type="containsText" dxfId="963" priority="899" operator="containsText" text="P7 (2015/ON HILL)">
      <formula>NOT(ISERROR(SEARCH("P7 (2015/ON HILL)",B148)))</formula>
    </cfRule>
    <cfRule type="containsText" dxfId="962" priority="900" operator="containsText" text="M (2015/NURSERY)">
      <formula>NOT(ISERROR(SEARCH("M (2015/NURSERY)",B148)))</formula>
    </cfRule>
    <cfRule type="containsText" dxfId="961" priority="901" operator="containsText" text="M (2016/PLOT3)">
      <formula>NOT(ISERROR(SEARCH("M (2016/PLOT3)",B148)))</formula>
    </cfRule>
    <cfRule type="containsText" dxfId="960" priority="902" operator="containsText" text="M (2017)">
      <formula>NOT(ISERROR(SEARCH("M (2017)",B148)))</formula>
    </cfRule>
    <cfRule type="containsText" dxfId="959" priority="903" operator="containsText" text="P1 (2017)">
      <formula>NOT(ISERROR(SEARCH("P1 (2017)",B148)))</formula>
    </cfRule>
  </conditionalFormatting>
  <conditionalFormatting sqref="B147">
    <cfRule type="expression" dxfId="958" priority="896">
      <formula>"P7 (2016)"</formula>
    </cfRule>
  </conditionalFormatting>
  <conditionalFormatting sqref="B147">
    <cfRule type="containsText" dxfId="957" priority="889" operator="containsText" text="P7 (2016)">
      <formula>NOT(ISERROR(SEARCH("P7 (2016)",B147)))</formula>
    </cfRule>
    <cfRule type="containsText" dxfId="956" priority="890" operator="containsText" text="NP">
      <formula>NOT(ISERROR(SEARCH("NP",B147)))</formula>
    </cfRule>
    <cfRule type="containsText" dxfId="955" priority="891" operator="containsText" text="P7 (2015/ON HILL)">
      <formula>NOT(ISERROR(SEARCH("P7 (2015/ON HILL)",B147)))</formula>
    </cfRule>
    <cfRule type="containsText" dxfId="954" priority="892" operator="containsText" text="M (2015/NURSERY)">
      <formula>NOT(ISERROR(SEARCH("M (2015/NURSERY)",B147)))</formula>
    </cfRule>
    <cfRule type="containsText" dxfId="953" priority="893" operator="containsText" text="M (2016/PLOT3)">
      <formula>NOT(ISERROR(SEARCH("M (2016/PLOT3)",B147)))</formula>
    </cfRule>
    <cfRule type="containsText" dxfId="952" priority="894" operator="containsText" text="M (2017)">
      <formula>NOT(ISERROR(SEARCH("M (2017)",B147)))</formula>
    </cfRule>
    <cfRule type="containsText" dxfId="951" priority="895" operator="containsText" text="P1 (2017)">
      <formula>NOT(ISERROR(SEARCH("P1 (2017)",B147)))</formula>
    </cfRule>
  </conditionalFormatting>
  <conditionalFormatting sqref="B158">
    <cfRule type="expression" dxfId="950" priority="888">
      <formula>"P7 (2016)"</formula>
    </cfRule>
  </conditionalFormatting>
  <conditionalFormatting sqref="B158">
    <cfRule type="containsText" dxfId="949" priority="881" operator="containsText" text="P7 (2016)">
      <formula>NOT(ISERROR(SEARCH("P7 (2016)",B158)))</formula>
    </cfRule>
    <cfRule type="containsText" dxfId="948" priority="882" operator="containsText" text="NP">
      <formula>NOT(ISERROR(SEARCH("NP",B158)))</formula>
    </cfRule>
    <cfRule type="containsText" dxfId="947" priority="883" operator="containsText" text="P7 (2015/ON HILL)">
      <formula>NOT(ISERROR(SEARCH("P7 (2015/ON HILL)",B158)))</formula>
    </cfRule>
    <cfRule type="containsText" dxfId="946" priority="884" operator="containsText" text="M (2015/NURSERY)">
      <formula>NOT(ISERROR(SEARCH("M (2015/NURSERY)",B158)))</formula>
    </cfRule>
    <cfRule type="containsText" dxfId="945" priority="885" operator="containsText" text="M (2016/PLOT3)">
      <formula>NOT(ISERROR(SEARCH("M (2016/PLOT3)",B158)))</formula>
    </cfRule>
    <cfRule type="containsText" dxfId="944" priority="886" operator="containsText" text="M (2017)">
      <formula>NOT(ISERROR(SEARCH("M (2017)",B158)))</formula>
    </cfRule>
    <cfRule type="containsText" dxfId="943" priority="887" operator="containsText" text="P1 (2017)">
      <formula>NOT(ISERROR(SEARCH("P1 (2017)",B158)))</formula>
    </cfRule>
  </conditionalFormatting>
  <conditionalFormatting sqref="B150 B153 B155 B160">
    <cfRule type="expression" dxfId="942" priority="880">
      <formula>"P7 (2016)"</formula>
    </cfRule>
  </conditionalFormatting>
  <conditionalFormatting sqref="B150 B153 B155 B160">
    <cfRule type="containsText" dxfId="941" priority="873" operator="containsText" text="P7 (2016)">
      <formula>NOT(ISERROR(SEARCH("P7 (2016)",B150)))</formula>
    </cfRule>
    <cfRule type="containsText" dxfId="940" priority="874" operator="containsText" text="NP">
      <formula>NOT(ISERROR(SEARCH("NP",B150)))</formula>
    </cfRule>
    <cfRule type="containsText" dxfId="939" priority="875" operator="containsText" text="P7 (2015/ON HILL)">
      <formula>NOT(ISERROR(SEARCH("P7 (2015/ON HILL)",B150)))</formula>
    </cfRule>
    <cfRule type="containsText" dxfId="938" priority="876" operator="containsText" text="M (2015/NURSERY)">
      <formula>NOT(ISERROR(SEARCH("M (2015/NURSERY)",B150)))</formula>
    </cfRule>
    <cfRule type="containsText" dxfId="937" priority="877" operator="containsText" text="M (2016/PLOT3)">
      <formula>NOT(ISERROR(SEARCH("M (2016/PLOT3)",B150)))</formula>
    </cfRule>
    <cfRule type="containsText" dxfId="936" priority="878" operator="containsText" text="M (2017)">
      <formula>NOT(ISERROR(SEARCH("M (2017)",B150)))</formula>
    </cfRule>
    <cfRule type="containsText" dxfId="935" priority="879" operator="containsText" text="P1 (2017)">
      <formula>NOT(ISERROR(SEARCH("P1 (2017)",B150)))</formula>
    </cfRule>
  </conditionalFormatting>
  <conditionalFormatting sqref="B164">
    <cfRule type="expression" dxfId="934" priority="872">
      <formula>"P7 (2016)"</formula>
    </cfRule>
  </conditionalFormatting>
  <conditionalFormatting sqref="B164">
    <cfRule type="containsText" dxfId="933" priority="865" operator="containsText" text="P7 (2016)">
      <formula>NOT(ISERROR(SEARCH("P7 (2016)",B164)))</formula>
    </cfRule>
    <cfRule type="containsText" dxfId="932" priority="866" operator="containsText" text="NP">
      <formula>NOT(ISERROR(SEARCH("NP",B164)))</formula>
    </cfRule>
    <cfRule type="containsText" dxfId="931" priority="867" operator="containsText" text="P7 (2015/ON HILL)">
      <formula>NOT(ISERROR(SEARCH("P7 (2015/ON HILL)",B164)))</formula>
    </cfRule>
    <cfRule type="containsText" dxfId="930" priority="868" operator="containsText" text="M (2015/NURSERY)">
      <formula>NOT(ISERROR(SEARCH("M (2015/NURSERY)",B164)))</formula>
    </cfRule>
    <cfRule type="containsText" dxfId="929" priority="869" operator="containsText" text="M (2016/PLOT3)">
      <formula>NOT(ISERROR(SEARCH("M (2016/PLOT3)",B164)))</formula>
    </cfRule>
    <cfRule type="containsText" dxfId="928" priority="870" operator="containsText" text="M (2017)">
      <formula>NOT(ISERROR(SEARCH("M (2017)",B164)))</formula>
    </cfRule>
    <cfRule type="containsText" dxfId="927" priority="871" operator="containsText" text="P1 (2017)">
      <formula>NOT(ISERROR(SEARCH("P1 (2017)",B164)))</formula>
    </cfRule>
  </conditionalFormatting>
  <conditionalFormatting sqref="B165:B174">
    <cfRule type="expression" dxfId="926" priority="864">
      <formula>"P7 (2016)"</formula>
    </cfRule>
  </conditionalFormatting>
  <conditionalFormatting sqref="B165:B174">
    <cfRule type="containsText" dxfId="925" priority="857" operator="containsText" text="P7 (2016)">
      <formula>NOT(ISERROR(SEARCH("P7 (2016)",B165)))</formula>
    </cfRule>
    <cfRule type="containsText" dxfId="924" priority="858" operator="containsText" text="NP">
      <formula>NOT(ISERROR(SEARCH("NP",B165)))</formula>
    </cfRule>
    <cfRule type="containsText" dxfId="923" priority="859" operator="containsText" text="P7 (2015/ON HILL)">
      <formula>NOT(ISERROR(SEARCH("P7 (2015/ON HILL)",B165)))</formula>
    </cfRule>
    <cfRule type="containsText" dxfId="922" priority="860" operator="containsText" text="M (2015/NURSERY)">
      <formula>NOT(ISERROR(SEARCH("M (2015/NURSERY)",B165)))</formula>
    </cfRule>
    <cfRule type="containsText" dxfId="921" priority="861" operator="containsText" text="M (2016/PLOT3)">
      <formula>NOT(ISERROR(SEARCH("M (2016/PLOT3)",B165)))</formula>
    </cfRule>
    <cfRule type="containsText" dxfId="920" priority="862" operator="containsText" text="M (2017)">
      <formula>NOT(ISERROR(SEARCH("M (2017)",B165)))</formula>
    </cfRule>
    <cfRule type="containsText" dxfId="919" priority="863" operator="containsText" text="P1 (2017)">
      <formula>NOT(ISERROR(SEARCH("P1 (2017)",B165)))</formula>
    </cfRule>
  </conditionalFormatting>
  <conditionalFormatting sqref="B175">
    <cfRule type="expression" dxfId="918" priority="856">
      <formula>"P7 (2016)"</formula>
    </cfRule>
  </conditionalFormatting>
  <conditionalFormatting sqref="B175">
    <cfRule type="containsText" dxfId="917" priority="849" operator="containsText" text="P7 (2016)">
      <formula>NOT(ISERROR(SEARCH("P7 (2016)",B175)))</formula>
    </cfRule>
    <cfRule type="containsText" dxfId="916" priority="850" operator="containsText" text="NP">
      <formula>NOT(ISERROR(SEARCH("NP",B175)))</formula>
    </cfRule>
    <cfRule type="containsText" dxfId="915" priority="851" operator="containsText" text="P7 (2015/ON HILL)">
      <formula>NOT(ISERROR(SEARCH("P7 (2015/ON HILL)",B175)))</formula>
    </cfRule>
    <cfRule type="containsText" dxfId="914" priority="852" operator="containsText" text="M (2015/NURSERY)">
      <formula>NOT(ISERROR(SEARCH("M (2015/NURSERY)",B175)))</formula>
    </cfRule>
    <cfRule type="containsText" dxfId="913" priority="853" operator="containsText" text="M (2016/PLOT3)">
      <formula>NOT(ISERROR(SEARCH("M (2016/PLOT3)",B175)))</formula>
    </cfRule>
    <cfRule type="containsText" dxfId="912" priority="854" operator="containsText" text="M (2017)">
      <formula>NOT(ISERROR(SEARCH("M (2017)",B175)))</formula>
    </cfRule>
    <cfRule type="containsText" dxfId="911" priority="855" operator="containsText" text="P1 (2017)">
      <formula>NOT(ISERROR(SEARCH("P1 (2017)",B175)))</formula>
    </cfRule>
  </conditionalFormatting>
  <conditionalFormatting sqref="B178">
    <cfRule type="expression" dxfId="910" priority="848">
      <formula>"P7 (2016)"</formula>
    </cfRule>
  </conditionalFormatting>
  <conditionalFormatting sqref="B178">
    <cfRule type="containsText" dxfId="909" priority="841" operator="containsText" text="P7 (2016)">
      <formula>NOT(ISERROR(SEARCH("P7 (2016)",B178)))</formula>
    </cfRule>
    <cfRule type="containsText" dxfId="908" priority="842" operator="containsText" text="NP">
      <formula>NOT(ISERROR(SEARCH("NP",B178)))</formula>
    </cfRule>
    <cfRule type="containsText" dxfId="907" priority="843" operator="containsText" text="P7 (2015/ON HILL)">
      <formula>NOT(ISERROR(SEARCH("P7 (2015/ON HILL)",B178)))</formula>
    </cfRule>
    <cfRule type="containsText" dxfId="906" priority="844" operator="containsText" text="M (2015/NURSERY)">
      <formula>NOT(ISERROR(SEARCH("M (2015/NURSERY)",B178)))</formula>
    </cfRule>
    <cfRule type="containsText" dxfId="905" priority="845" operator="containsText" text="M (2016/PLOT3)">
      <formula>NOT(ISERROR(SEARCH("M (2016/PLOT3)",B178)))</formula>
    </cfRule>
    <cfRule type="containsText" dxfId="904" priority="846" operator="containsText" text="M (2017)">
      <formula>NOT(ISERROR(SEARCH("M (2017)",B178)))</formula>
    </cfRule>
    <cfRule type="containsText" dxfId="903" priority="847" operator="containsText" text="P1 (2017)">
      <formula>NOT(ISERROR(SEARCH("P1 (2017)",B178)))</formula>
    </cfRule>
  </conditionalFormatting>
  <conditionalFormatting sqref="B176">
    <cfRule type="expression" dxfId="902" priority="840">
      <formula>"P7 (2016)"</formula>
    </cfRule>
  </conditionalFormatting>
  <conditionalFormatting sqref="B176">
    <cfRule type="containsText" dxfId="901" priority="833" operator="containsText" text="P7 (2016)">
      <formula>NOT(ISERROR(SEARCH("P7 (2016)",B176)))</formula>
    </cfRule>
    <cfRule type="containsText" dxfId="900" priority="834" operator="containsText" text="NP">
      <formula>NOT(ISERROR(SEARCH("NP",B176)))</formula>
    </cfRule>
    <cfRule type="containsText" dxfId="899" priority="835" operator="containsText" text="P7 (2015/ON HILL)">
      <formula>NOT(ISERROR(SEARCH("P7 (2015/ON HILL)",B176)))</formula>
    </cfRule>
    <cfRule type="containsText" dxfId="898" priority="836" operator="containsText" text="M (2015/NURSERY)">
      <formula>NOT(ISERROR(SEARCH("M (2015/NURSERY)",B176)))</formula>
    </cfRule>
    <cfRule type="containsText" dxfId="897" priority="837" operator="containsText" text="M (2016/PLOT3)">
      <formula>NOT(ISERROR(SEARCH("M (2016/PLOT3)",B176)))</formula>
    </cfRule>
    <cfRule type="containsText" dxfId="896" priority="838" operator="containsText" text="M (2017)">
      <formula>NOT(ISERROR(SEARCH("M (2017)",B176)))</formula>
    </cfRule>
    <cfRule type="containsText" dxfId="895" priority="839" operator="containsText" text="P1 (2017)">
      <formula>NOT(ISERROR(SEARCH("P1 (2017)",B176)))</formula>
    </cfRule>
  </conditionalFormatting>
  <conditionalFormatting sqref="B177">
    <cfRule type="expression" dxfId="894" priority="832">
      <formula>"P7 (2016)"</formula>
    </cfRule>
  </conditionalFormatting>
  <conditionalFormatting sqref="B177">
    <cfRule type="containsText" dxfId="893" priority="825" operator="containsText" text="P7 (2016)">
      <formula>NOT(ISERROR(SEARCH("P7 (2016)",B177)))</formula>
    </cfRule>
    <cfRule type="containsText" dxfId="892" priority="826" operator="containsText" text="NP">
      <formula>NOT(ISERROR(SEARCH("NP",B177)))</formula>
    </cfRule>
    <cfRule type="containsText" dxfId="891" priority="827" operator="containsText" text="P7 (2015/ON HILL)">
      <formula>NOT(ISERROR(SEARCH("P7 (2015/ON HILL)",B177)))</formula>
    </cfRule>
    <cfRule type="containsText" dxfId="890" priority="828" operator="containsText" text="M (2015/NURSERY)">
      <formula>NOT(ISERROR(SEARCH("M (2015/NURSERY)",B177)))</formula>
    </cfRule>
    <cfRule type="containsText" dxfId="889" priority="829" operator="containsText" text="M (2016/PLOT3)">
      <formula>NOT(ISERROR(SEARCH("M (2016/PLOT3)",B177)))</formula>
    </cfRule>
    <cfRule type="containsText" dxfId="888" priority="830" operator="containsText" text="M (2017)">
      <formula>NOT(ISERROR(SEARCH("M (2017)",B177)))</formula>
    </cfRule>
    <cfRule type="containsText" dxfId="887" priority="831" operator="containsText" text="P1 (2017)">
      <formula>NOT(ISERROR(SEARCH("P1 (2017)",B177)))</formula>
    </cfRule>
  </conditionalFormatting>
  <conditionalFormatting sqref="B179">
    <cfRule type="expression" dxfId="886" priority="824">
      <formula>"P7 (2016)"</formula>
    </cfRule>
  </conditionalFormatting>
  <conditionalFormatting sqref="B179">
    <cfRule type="containsText" dxfId="885" priority="817" operator="containsText" text="P7 (2016)">
      <formula>NOT(ISERROR(SEARCH("P7 (2016)",B179)))</formula>
    </cfRule>
    <cfRule type="containsText" dxfId="884" priority="818" operator="containsText" text="NP">
      <formula>NOT(ISERROR(SEARCH("NP",B179)))</formula>
    </cfRule>
    <cfRule type="containsText" dxfId="883" priority="819" operator="containsText" text="P7 (2015/ON HILL)">
      <formula>NOT(ISERROR(SEARCH("P7 (2015/ON HILL)",B179)))</formula>
    </cfRule>
    <cfRule type="containsText" dxfId="882" priority="820" operator="containsText" text="M (2015/NURSERY)">
      <formula>NOT(ISERROR(SEARCH("M (2015/NURSERY)",B179)))</formula>
    </cfRule>
    <cfRule type="containsText" dxfId="881" priority="821" operator="containsText" text="M (2016/PLOT3)">
      <formula>NOT(ISERROR(SEARCH("M (2016/PLOT3)",B179)))</formula>
    </cfRule>
    <cfRule type="containsText" dxfId="880" priority="822" operator="containsText" text="M (2017)">
      <formula>NOT(ISERROR(SEARCH("M (2017)",B179)))</formula>
    </cfRule>
    <cfRule type="containsText" dxfId="879" priority="823" operator="containsText" text="P1 (2017)">
      <formula>NOT(ISERROR(SEARCH("P1 (2017)",B179)))</formula>
    </cfRule>
  </conditionalFormatting>
  <conditionalFormatting sqref="B180">
    <cfRule type="expression" dxfId="878" priority="816">
      <formula>"P7 (2016)"</formula>
    </cfRule>
  </conditionalFormatting>
  <conditionalFormatting sqref="B180">
    <cfRule type="containsText" dxfId="877" priority="809" operator="containsText" text="P7 (2016)">
      <formula>NOT(ISERROR(SEARCH("P7 (2016)",B180)))</formula>
    </cfRule>
    <cfRule type="containsText" dxfId="876" priority="810" operator="containsText" text="NP">
      <formula>NOT(ISERROR(SEARCH("NP",B180)))</formula>
    </cfRule>
    <cfRule type="containsText" dxfId="875" priority="811" operator="containsText" text="P7 (2015/ON HILL)">
      <formula>NOT(ISERROR(SEARCH("P7 (2015/ON HILL)",B180)))</formula>
    </cfRule>
    <cfRule type="containsText" dxfId="874" priority="812" operator="containsText" text="M (2015/NURSERY)">
      <formula>NOT(ISERROR(SEARCH("M (2015/NURSERY)",B180)))</formula>
    </cfRule>
    <cfRule type="containsText" dxfId="873" priority="813" operator="containsText" text="M (2016/PLOT3)">
      <formula>NOT(ISERROR(SEARCH("M (2016/PLOT3)",B180)))</formula>
    </cfRule>
    <cfRule type="containsText" dxfId="872" priority="814" operator="containsText" text="M (2017)">
      <formula>NOT(ISERROR(SEARCH("M (2017)",B180)))</formula>
    </cfRule>
    <cfRule type="containsText" dxfId="871" priority="815" operator="containsText" text="P1 (2017)">
      <formula>NOT(ISERROR(SEARCH("P1 (2017)",B180)))</formula>
    </cfRule>
  </conditionalFormatting>
  <conditionalFormatting sqref="B181">
    <cfRule type="expression" dxfId="870" priority="808">
      <formula>"P7 (2016)"</formula>
    </cfRule>
  </conditionalFormatting>
  <conditionalFormatting sqref="B181">
    <cfRule type="containsText" dxfId="869" priority="801" operator="containsText" text="P7 (2016)">
      <formula>NOT(ISERROR(SEARCH("P7 (2016)",B181)))</formula>
    </cfRule>
    <cfRule type="containsText" dxfId="868" priority="802" operator="containsText" text="NP">
      <formula>NOT(ISERROR(SEARCH("NP",B181)))</formula>
    </cfRule>
    <cfRule type="containsText" dxfId="867" priority="803" operator="containsText" text="P7 (2015/ON HILL)">
      <formula>NOT(ISERROR(SEARCH("P7 (2015/ON HILL)",B181)))</formula>
    </cfRule>
    <cfRule type="containsText" dxfId="866" priority="804" operator="containsText" text="M (2015/NURSERY)">
      <formula>NOT(ISERROR(SEARCH("M (2015/NURSERY)",B181)))</formula>
    </cfRule>
    <cfRule type="containsText" dxfId="865" priority="805" operator="containsText" text="M (2016/PLOT3)">
      <formula>NOT(ISERROR(SEARCH("M (2016/PLOT3)",B181)))</formula>
    </cfRule>
    <cfRule type="containsText" dxfId="864" priority="806" operator="containsText" text="M (2017)">
      <formula>NOT(ISERROR(SEARCH("M (2017)",B181)))</formula>
    </cfRule>
    <cfRule type="containsText" dxfId="863" priority="807" operator="containsText" text="P1 (2017)">
      <formula>NOT(ISERROR(SEARCH("P1 (2017)",B181)))</formula>
    </cfRule>
  </conditionalFormatting>
  <conditionalFormatting sqref="B182">
    <cfRule type="expression" dxfId="862" priority="800">
      <formula>"P7 (2016)"</formula>
    </cfRule>
  </conditionalFormatting>
  <conditionalFormatting sqref="B182">
    <cfRule type="containsText" dxfId="861" priority="793" operator="containsText" text="P7 (2016)">
      <formula>NOT(ISERROR(SEARCH("P7 (2016)",B182)))</formula>
    </cfRule>
    <cfRule type="containsText" dxfId="860" priority="794" operator="containsText" text="NP">
      <formula>NOT(ISERROR(SEARCH("NP",B182)))</formula>
    </cfRule>
    <cfRule type="containsText" dxfId="859" priority="795" operator="containsText" text="P7 (2015/ON HILL)">
      <formula>NOT(ISERROR(SEARCH("P7 (2015/ON HILL)",B182)))</formula>
    </cfRule>
    <cfRule type="containsText" dxfId="858" priority="796" operator="containsText" text="M (2015/NURSERY)">
      <formula>NOT(ISERROR(SEARCH("M (2015/NURSERY)",B182)))</formula>
    </cfRule>
    <cfRule type="containsText" dxfId="857" priority="797" operator="containsText" text="M (2016/PLOT3)">
      <formula>NOT(ISERROR(SEARCH("M (2016/PLOT3)",B182)))</formula>
    </cfRule>
    <cfRule type="containsText" dxfId="856" priority="798" operator="containsText" text="M (2017)">
      <formula>NOT(ISERROR(SEARCH("M (2017)",B182)))</formula>
    </cfRule>
    <cfRule type="containsText" dxfId="855" priority="799" operator="containsText" text="P1 (2017)">
      <formula>NOT(ISERROR(SEARCH("P1 (2017)",B182)))</formula>
    </cfRule>
  </conditionalFormatting>
  <conditionalFormatting sqref="B183">
    <cfRule type="expression" dxfId="854" priority="792">
      <formula>"P7 (2016)"</formula>
    </cfRule>
  </conditionalFormatting>
  <conditionalFormatting sqref="B183">
    <cfRule type="containsText" dxfId="853" priority="785" operator="containsText" text="P7 (2016)">
      <formula>NOT(ISERROR(SEARCH("P7 (2016)",B183)))</formula>
    </cfRule>
    <cfRule type="containsText" dxfId="852" priority="786" operator="containsText" text="NP">
      <formula>NOT(ISERROR(SEARCH("NP",B183)))</formula>
    </cfRule>
    <cfRule type="containsText" dxfId="851" priority="787" operator="containsText" text="P7 (2015/ON HILL)">
      <formula>NOT(ISERROR(SEARCH("P7 (2015/ON HILL)",B183)))</formula>
    </cfRule>
    <cfRule type="containsText" dxfId="850" priority="788" operator="containsText" text="M (2015/NURSERY)">
      <formula>NOT(ISERROR(SEARCH("M (2015/NURSERY)",B183)))</formula>
    </cfRule>
    <cfRule type="containsText" dxfId="849" priority="789" operator="containsText" text="M (2016/PLOT3)">
      <formula>NOT(ISERROR(SEARCH("M (2016/PLOT3)",B183)))</formula>
    </cfRule>
    <cfRule type="containsText" dxfId="848" priority="790" operator="containsText" text="M (2017)">
      <formula>NOT(ISERROR(SEARCH("M (2017)",B183)))</formula>
    </cfRule>
    <cfRule type="containsText" dxfId="847" priority="791" operator="containsText" text="P1 (2017)">
      <formula>NOT(ISERROR(SEARCH("P1 (2017)",B183)))</formula>
    </cfRule>
  </conditionalFormatting>
  <conditionalFormatting sqref="B184">
    <cfRule type="expression" dxfId="846" priority="784">
      <formula>"P7 (2016)"</formula>
    </cfRule>
  </conditionalFormatting>
  <conditionalFormatting sqref="B184">
    <cfRule type="containsText" dxfId="845" priority="777" operator="containsText" text="P7 (2016)">
      <formula>NOT(ISERROR(SEARCH("P7 (2016)",B184)))</formula>
    </cfRule>
    <cfRule type="containsText" dxfId="844" priority="778" operator="containsText" text="NP">
      <formula>NOT(ISERROR(SEARCH("NP",B184)))</formula>
    </cfRule>
    <cfRule type="containsText" dxfId="843" priority="779" operator="containsText" text="P7 (2015/ON HILL)">
      <formula>NOT(ISERROR(SEARCH("P7 (2015/ON HILL)",B184)))</formula>
    </cfRule>
    <cfRule type="containsText" dxfId="842" priority="780" operator="containsText" text="M (2015/NURSERY)">
      <formula>NOT(ISERROR(SEARCH("M (2015/NURSERY)",B184)))</formula>
    </cfRule>
    <cfRule type="containsText" dxfId="841" priority="781" operator="containsText" text="M (2016/PLOT3)">
      <formula>NOT(ISERROR(SEARCH("M (2016/PLOT3)",B184)))</formula>
    </cfRule>
    <cfRule type="containsText" dxfId="840" priority="782" operator="containsText" text="M (2017)">
      <formula>NOT(ISERROR(SEARCH("M (2017)",B184)))</formula>
    </cfRule>
    <cfRule type="containsText" dxfId="839" priority="783" operator="containsText" text="P1 (2017)">
      <formula>NOT(ISERROR(SEARCH("P1 (2017)",B184)))</formula>
    </cfRule>
  </conditionalFormatting>
  <conditionalFormatting sqref="B185:B187">
    <cfRule type="expression" dxfId="838" priority="776">
      <formula>"P7 (2016)"</formula>
    </cfRule>
  </conditionalFormatting>
  <conditionalFormatting sqref="B185:B187">
    <cfRule type="containsText" dxfId="837" priority="769" operator="containsText" text="P7 (2016)">
      <formula>NOT(ISERROR(SEARCH("P7 (2016)",B185)))</formula>
    </cfRule>
    <cfRule type="containsText" dxfId="836" priority="770" operator="containsText" text="NP">
      <formula>NOT(ISERROR(SEARCH("NP",B185)))</formula>
    </cfRule>
    <cfRule type="containsText" dxfId="835" priority="771" operator="containsText" text="P7 (2015/ON HILL)">
      <formula>NOT(ISERROR(SEARCH("P7 (2015/ON HILL)",B185)))</formula>
    </cfRule>
    <cfRule type="containsText" dxfId="834" priority="772" operator="containsText" text="M (2015/NURSERY)">
      <formula>NOT(ISERROR(SEARCH("M (2015/NURSERY)",B185)))</formula>
    </cfRule>
    <cfRule type="containsText" dxfId="833" priority="773" operator="containsText" text="M (2016/PLOT3)">
      <formula>NOT(ISERROR(SEARCH("M (2016/PLOT3)",B185)))</formula>
    </cfRule>
    <cfRule type="containsText" dxfId="832" priority="774" operator="containsText" text="M (2017)">
      <formula>NOT(ISERROR(SEARCH("M (2017)",B185)))</formula>
    </cfRule>
    <cfRule type="containsText" dxfId="831" priority="775" operator="containsText" text="P1 (2017)">
      <formula>NOT(ISERROR(SEARCH("P1 (2017)",B185)))</formula>
    </cfRule>
  </conditionalFormatting>
  <conditionalFormatting sqref="B188">
    <cfRule type="expression" dxfId="830" priority="768">
      <formula>"P7 (2016)"</formula>
    </cfRule>
  </conditionalFormatting>
  <conditionalFormatting sqref="B188">
    <cfRule type="containsText" dxfId="829" priority="761" operator="containsText" text="P7 (2016)">
      <formula>NOT(ISERROR(SEARCH("P7 (2016)",B188)))</formula>
    </cfRule>
    <cfRule type="containsText" dxfId="828" priority="762" operator="containsText" text="NP">
      <formula>NOT(ISERROR(SEARCH("NP",B188)))</formula>
    </cfRule>
    <cfRule type="containsText" dxfId="827" priority="763" operator="containsText" text="P7 (2015/ON HILL)">
      <formula>NOT(ISERROR(SEARCH("P7 (2015/ON HILL)",B188)))</formula>
    </cfRule>
    <cfRule type="containsText" dxfId="826" priority="764" operator="containsText" text="M (2015/NURSERY)">
      <formula>NOT(ISERROR(SEARCH("M (2015/NURSERY)",B188)))</formula>
    </cfRule>
    <cfRule type="containsText" dxfId="825" priority="765" operator="containsText" text="M (2016/PLOT3)">
      <formula>NOT(ISERROR(SEARCH("M (2016/PLOT3)",B188)))</formula>
    </cfRule>
    <cfRule type="containsText" dxfId="824" priority="766" operator="containsText" text="M (2017)">
      <formula>NOT(ISERROR(SEARCH("M (2017)",B188)))</formula>
    </cfRule>
    <cfRule type="containsText" dxfId="823" priority="767" operator="containsText" text="P1 (2017)">
      <formula>NOT(ISERROR(SEARCH("P1 (2017)",B188)))</formula>
    </cfRule>
  </conditionalFormatting>
  <conditionalFormatting sqref="B189">
    <cfRule type="expression" dxfId="822" priority="760">
      <formula>"P7 (2016)"</formula>
    </cfRule>
  </conditionalFormatting>
  <conditionalFormatting sqref="B189">
    <cfRule type="containsText" dxfId="821" priority="753" operator="containsText" text="P7 (2016)">
      <formula>NOT(ISERROR(SEARCH("P7 (2016)",B189)))</formula>
    </cfRule>
    <cfRule type="containsText" dxfId="820" priority="754" operator="containsText" text="NP">
      <formula>NOT(ISERROR(SEARCH("NP",B189)))</formula>
    </cfRule>
    <cfRule type="containsText" dxfId="819" priority="755" operator="containsText" text="P7 (2015/ON HILL)">
      <formula>NOT(ISERROR(SEARCH("P7 (2015/ON HILL)",B189)))</formula>
    </cfRule>
    <cfRule type="containsText" dxfId="818" priority="756" operator="containsText" text="M (2015/NURSERY)">
      <formula>NOT(ISERROR(SEARCH("M (2015/NURSERY)",B189)))</formula>
    </cfRule>
    <cfRule type="containsText" dxfId="817" priority="757" operator="containsText" text="M (2016/PLOT3)">
      <formula>NOT(ISERROR(SEARCH("M (2016/PLOT3)",B189)))</formula>
    </cfRule>
    <cfRule type="containsText" dxfId="816" priority="758" operator="containsText" text="M (2017)">
      <formula>NOT(ISERROR(SEARCH("M (2017)",B189)))</formula>
    </cfRule>
    <cfRule type="containsText" dxfId="815" priority="759" operator="containsText" text="P1 (2017)">
      <formula>NOT(ISERROR(SEARCH("P1 (2017)",B189)))</formula>
    </cfRule>
  </conditionalFormatting>
  <conditionalFormatting sqref="B190">
    <cfRule type="expression" dxfId="814" priority="752">
      <formula>"P7 (2016)"</formula>
    </cfRule>
  </conditionalFormatting>
  <conditionalFormatting sqref="B190">
    <cfRule type="containsText" dxfId="813" priority="745" operator="containsText" text="P7 (2016)">
      <formula>NOT(ISERROR(SEARCH("P7 (2016)",B190)))</formula>
    </cfRule>
    <cfRule type="containsText" dxfId="812" priority="746" operator="containsText" text="NP">
      <formula>NOT(ISERROR(SEARCH("NP",B190)))</formula>
    </cfRule>
    <cfRule type="containsText" dxfId="811" priority="747" operator="containsText" text="P7 (2015/ON HILL)">
      <formula>NOT(ISERROR(SEARCH("P7 (2015/ON HILL)",B190)))</formula>
    </cfRule>
    <cfRule type="containsText" dxfId="810" priority="748" operator="containsText" text="M (2015/NURSERY)">
      <formula>NOT(ISERROR(SEARCH("M (2015/NURSERY)",B190)))</formula>
    </cfRule>
    <cfRule type="containsText" dxfId="809" priority="749" operator="containsText" text="M (2016/PLOT3)">
      <formula>NOT(ISERROR(SEARCH("M (2016/PLOT3)",B190)))</formula>
    </cfRule>
    <cfRule type="containsText" dxfId="808" priority="750" operator="containsText" text="M (2017)">
      <formula>NOT(ISERROR(SEARCH("M (2017)",B190)))</formula>
    </cfRule>
    <cfRule type="containsText" dxfId="807" priority="751" operator="containsText" text="P1 (2017)">
      <formula>NOT(ISERROR(SEARCH("P1 (2017)",B190)))</formula>
    </cfRule>
  </conditionalFormatting>
  <conditionalFormatting sqref="B191">
    <cfRule type="expression" dxfId="806" priority="744">
      <formula>"P7 (2016)"</formula>
    </cfRule>
  </conditionalFormatting>
  <conditionalFormatting sqref="B191">
    <cfRule type="containsText" dxfId="805" priority="737" operator="containsText" text="P7 (2016)">
      <formula>NOT(ISERROR(SEARCH("P7 (2016)",B191)))</formula>
    </cfRule>
    <cfRule type="containsText" dxfId="804" priority="738" operator="containsText" text="NP">
      <formula>NOT(ISERROR(SEARCH("NP",B191)))</formula>
    </cfRule>
    <cfRule type="containsText" dxfId="803" priority="739" operator="containsText" text="P7 (2015/ON HILL)">
      <formula>NOT(ISERROR(SEARCH("P7 (2015/ON HILL)",B191)))</formula>
    </cfRule>
    <cfRule type="containsText" dxfId="802" priority="740" operator="containsText" text="M (2015/NURSERY)">
      <formula>NOT(ISERROR(SEARCH("M (2015/NURSERY)",B191)))</formula>
    </cfRule>
    <cfRule type="containsText" dxfId="801" priority="741" operator="containsText" text="M (2016/PLOT3)">
      <formula>NOT(ISERROR(SEARCH("M (2016/PLOT3)",B191)))</formula>
    </cfRule>
    <cfRule type="containsText" dxfId="800" priority="742" operator="containsText" text="M (2017)">
      <formula>NOT(ISERROR(SEARCH("M (2017)",B191)))</formula>
    </cfRule>
    <cfRule type="containsText" dxfId="799" priority="743" operator="containsText" text="P1 (2017)">
      <formula>NOT(ISERROR(SEARCH("P1 (2017)",B191)))</formula>
    </cfRule>
  </conditionalFormatting>
  <conditionalFormatting sqref="B192">
    <cfRule type="expression" dxfId="798" priority="736">
      <formula>"P7 (2016)"</formula>
    </cfRule>
  </conditionalFormatting>
  <conditionalFormatting sqref="B192">
    <cfRule type="containsText" dxfId="797" priority="729" operator="containsText" text="P7 (2016)">
      <formula>NOT(ISERROR(SEARCH("P7 (2016)",B192)))</formula>
    </cfRule>
    <cfRule type="containsText" dxfId="796" priority="730" operator="containsText" text="NP">
      <formula>NOT(ISERROR(SEARCH("NP",B192)))</formula>
    </cfRule>
    <cfRule type="containsText" dxfId="795" priority="731" operator="containsText" text="P7 (2015/ON HILL)">
      <formula>NOT(ISERROR(SEARCH("P7 (2015/ON HILL)",B192)))</formula>
    </cfRule>
    <cfRule type="containsText" dxfId="794" priority="732" operator="containsText" text="M (2015/NURSERY)">
      <formula>NOT(ISERROR(SEARCH("M (2015/NURSERY)",B192)))</formula>
    </cfRule>
    <cfRule type="containsText" dxfId="793" priority="733" operator="containsText" text="M (2016/PLOT3)">
      <formula>NOT(ISERROR(SEARCH("M (2016/PLOT3)",B192)))</formula>
    </cfRule>
    <cfRule type="containsText" dxfId="792" priority="734" operator="containsText" text="M (2017)">
      <formula>NOT(ISERROR(SEARCH("M (2017)",B192)))</formula>
    </cfRule>
    <cfRule type="containsText" dxfId="791" priority="735" operator="containsText" text="P1 (2017)">
      <formula>NOT(ISERROR(SEARCH("P1 (2017)",B192)))</formula>
    </cfRule>
  </conditionalFormatting>
  <conditionalFormatting sqref="B194">
    <cfRule type="expression" dxfId="790" priority="728">
      <formula>"P7 (2016)"</formula>
    </cfRule>
  </conditionalFormatting>
  <conditionalFormatting sqref="B194">
    <cfRule type="containsText" dxfId="789" priority="721" operator="containsText" text="P7 (2016)">
      <formula>NOT(ISERROR(SEARCH("P7 (2016)",B194)))</formula>
    </cfRule>
    <cfRule type="containsText" dxfId="788" priority="722" operator="containsText" text="NP">
      <formula>NOT(ISERROR(SEARCH("NP",B194)))</formula>
    </cfRule>
    <cfRule type="containsText" dxfId="787" priority="723" operator="containsText" text="P7 (2015/ON HILL)">
      <formula>NOT(ISERROR(SEARCH("P7 (2015/ON HILL)",B194)))</formula>
    </cfRule>
    <cfRule type="containsText" dxfId="786" priority="724" operator="containsText" text="M (2015/NURSERY)">
      <formula>NOT(ISERROR(SEARCH("M (2015/NURSERY)",B194)))</formula>
    </cfRule>
    <cfRule type="containsText" dxfId="785" priority="725" operator="containsText" text="M (2016/PLOT3)">
      <formula>NOT(ISERROR(SEARCH("M (2016/PLOT3)",B194)))</formula>
    </cfRule>
    <cfRule type="containsText" dxfId="784" priority="726" operator="containsText" text="M (2017)">
      <formula>NOT(ISERROR(SEARCH("M (2017)",B194)))</formula>
    </cfRule>
    <cfRule type="containsText" dxfId="783" priority="727" operator="containsText" text="P1 (2017)">
      <formula>NOT(ISERROR(SEARCH("P1 (2017)",B194)))</formula>
    </cfRule>
  </conditionalFormatting>
  <conditionalFormatting sqref="B195">
    <cfRule type="expression" dxfId="782" priority="720">
      <formula>"P7 (2016)"</formula>
    </cfRule>
  </conditionalFormatting>
  <conditionalFormatting sqref="B195">
    <cfRule type="containsText" dxfId="781" priority="713" operator="containsText" text="P7 (2016)">
      <formula>NOT(ISERROR(SEARCH("P7 (2016)",B195)))</formula>
    </cfRule>
    <cfRule type="containsText" dxfId="780" priority="714" operator="containsText" text="NP">
      <formula>NOT(ISERROR(SEARCH("NP",B195)))</formula>
    </cfRule>
    <cfRule type="containsText" dxfId="779" priority="715" operator="containsText" text="P7 (2015/ON HILL)">
      <formula>NOT(ISERROR(SEARCH("P7 (2015/ON HILL)",B195)))</formula>
    </cfRule>
    <cfRule type="containsText" dxfId="778" priority="716" operator="containsText" text="M (2015/NURSERY)">
      <formula>NOT(ISERROR(SEARCH("M (2015/NURSERY)",B195)))</formula>
    </cfRule>
    <cfRule type="containsText" dxfId="777" priority="717" operator="containsText" text="M (2016/PLOT3)">
      <formula>NOT(ISERROR(SEARCH("M (2016/PLOT3)",B195)))</formula>
    </cfRule>
    <cfRule type="containsText" dxfId="776" priority="718" operator="containsText" text="M (2017)">
      <formula>NOT(ISERROR(SEARCH("M (2017)",B195)))</formula>
    </cfRule>
    <cfRule type="containsText" dxfId="775" priority="719" operator="containsText" text="P1 (2017)">
      <formula>NOT(ISERROR(SEARCH("P1 (2017)",B195)))</formula>
    </cfRule>
  </conditionalFormatting>
  <conditionalFormatting sqref="B196">
    <cfRule type="expression" dxfId="774" priority="712">
      <formula>"P7 (2016)"</formula>
    </cfRule>
  </conditionalFormatting>
  <conditionalFormatting sqref="B196">
    <cfRule type="containsText" dxfId="773" priority="705" operator="containsText" text="P7 (2016)">
      <formula>NOT(ISERROR(SEARCH("P7 (2016)",B196)))</formula>
    </cfRule>
    <cfRule type="containsText" dxfId="772" priority="706" operator="containsText" text="NP">
      <formula>NOT(ISERROR(SEARCH("NP",B196)))</formula>
    </cfRule>
    <cfRule type="containsText" dxfId="771" priority="707" operator="containsText" text="P7 (2015/ON HILL)">
      <formula>NOT(ISERROR(SEARCH("P7 (2015/ON HILL)",B196)))</formula>
    </cfRule>
    <cfRule type="containsText" dxfId="770" priority="708" operator="containsText" text="M (2015/NURSERY)">
      <formula>NOT(ISERROR(SEARCH("M (2015/NURSERY)",B196)))</formula>
    </cfRule>
    <cfRule type="containsText" dxfId="769" priority="709" operator="containsText" text="M (2016/PLOT3)">
      <formula>NOT(ISERROR(SEARCH("M (2016/PLOT3)",B196)))</formula>
    </cfRule>
    <cfRule type="containsText" dxfId="768" priority="710" operator="containsText" text="M (2017)">
      <formula>NOT(ISERROR(SEARCH("M (2017)",B196)))</formula>
    </cfRule>
    <cfRule type="containsText" dxfId="767" priority="711" operator="containsText" text="P1 (2017)">
      <formula>NOT(ISERROR(SEARCH("P1 (2017)",B196)))</formula>
    </cfRule>
  </conditionalFormatting>
  <conditionalFormatting sqref="B197">
    <cfRule type="expression" dxfId="766" priority="704">
      <formula>"P7 (2016)"</formula>
    </cfRule>
  </conditionalFormatting>
  <conditionalFormatting sqref="B197">
    <cfRule type="containsText" dxfId="765" priority="697" operator="containsText" text="P7 (2016)">
      <formula>NOT(ISERROR(SEARCH("P7 (2016)",B197)))</formula>
    </cfRule>
    <cfRule type="containsText" dxfId="764" priority="698" operator="containsText" text="NP">
      <formula>NOT(ISERROR(SEARCH("NP",B197)))</formula>
    </cfRule>
    <cfRule type="containsText" dxfId="763" priority="699" operator="containsText" text="P7 (2015/ON HILL)">
      <formula>NOT(ISERROR(SEARCH("P7 (2015/ON HILL)",B197)))</formula>
    </cfRule>
    <cfRule type="containsText" dxfId="762" priority="700" operator="containsText" text="M (2015/NURSERY)">
      <formula>NOT(ISERROR(SEARCH("M (2015/NURSERY)",B197)))</formula>
    </cfRule>
    <cfRule type="containsText" dxfId="761" priority="701" operator="containsText" text="M (2016/PLOT3)">
      <formula>NOT(ISERROR(SEARCH("M (2016/PLOT3)",B197)))</formula>
    </cfRule>
    <cfRule type="containsText" dxfId="760" priority="702" operator="containsText" text="M (2017)">
      <formula>NOT(ISERROR(SEARCH("M (2017)",B197)))</formula>
    </cfRule>
    <cfRule type="containsText" dxfId="759" priority="703" operator="containsText" text="P1 (2017)">
      <formula>NOT(ISERROR(SEARCH("P1 (2017)",B197)))</formula>
    </cfRule>
  </conditionalFormatting>
  <conditionalFormatting sqref="B198:B199">
    <cfRule type="expression" dxfId="758" priority="696">
      <formula>"P7 (2016)"</formula>
    </cfRule>
  </conditionalFormatting>
  <conditionalFormatting sqref="B198:B199">
    <cfRule type="containsText" dxfId="757" priority="689" operator="containsText" text="P7 (2016)">
      <formula>NOT(ISERROR(SEARCH("P7 (2016)",B198)))</formula>
    </cfRule>
    <cfRule type="containsText" dxfId="756" priority="690" operator="containsText" text="NP">
      <formula>NOT(ISERROR(SEARCH("NP",B198)))</formula>
    </cfRule>
    <cfRule type="containsText" dxfId="755" priority="691" operator="containsText" text="P7 (2015/ON HILL)">
      <formula>NOT(ISERROR(SEARCH("P7 (2015/ON HILL)",B198)))</formula>
    </cfRule>
    <cfRule type="containsText" dxfId="754" priority="692" operator="containsText" text="M (2015/NURSERY)">
      <formula>NOT(ISERROR(SEARCH("M (2015/NURSERY)",B198)))</formula>
    </cfRule>
    <cfRule type="containsText" dxfId="753" priority="693" operator="containsText" text="M (2016/PLOT3)">
      <formula>NOT(ISERROR(SEARCH("M (2016/PLOT3)",B198)))</formula>
    </cfRule>
    <cfRule type="containsText" dxfId="752" priority="694" operator="containsText" text="M (2017)">
      <formula>NOT(ISERROR(SEARCH("M (2017)",B198)))</formula>
    </cfRule>
    <cfRule type="containsText" dxfId="751" priority="695" operator="containsText" text="P1 (2017)">
      <formula>NOT(ISERROR(SEARCH("P1 (2017)",B198)))</formula>
    </cfRule>
  </conditionalFormatting>
  <conditionalFormatting sqref="B200">
    <cfRule type="expression" dxfId="750" priority="688">
      <formula>"P7 (2016)"</formula>
    </cfRule>
  </conditionalFormatting>
  <conditionalFormatting sqref="B200">
    <cfRule type="containsText" dxfId="749" priority="681" operator="containsText" text="P7 (2016)">
      <formula>NOT(ISERROR(SEARCH("P7 (2016)",B200)))</formula>
    </cfRule>
    <cfRule type="containsText" dxfId="748" priority="682" operator="containsText" text="NP">
      <formula>NOT(ISERROR(SEARCH("NP",B200)))</formula>
    </cfRule>
    <cfRule type="containsText" dxfId="747" priority="683" operator="containsText" text="P7 (2015/ON HILL)">
      <formula>NOT(ISERROR(SEARCH("P7 (2015/ON HILL)",B200)))</formula>
    </cfRule>
    <cfRule type="containsText" dxfId="746" priority="684" operator="containsText" text="M (2015/NURSERY)">
      <formula>NOT(ISERROR(SEARCH("M (2015/NURSERY)",B200)))</formula>
    </cfRule>
    <cfRule type="containsText" dxfId="745" priority="685" operator="containsText" text="M (2016/PLOT3)">
      <formula>NOT(ISERROR(SEARCH("M (2016/PLOT3)",B200)))</formula>
    </cfRule>
    <cfRule type="containsText" dxfId="744" priority="686" operator="containsText" text="M (2017)">
      <formula>NOT(ISERROR(SEARCH("M (2017)",B200)))</formula>
    </cfRule>
    <cfRule type="containsText" dxfId="743" priority="687" operator="containsText" text="P1 (2017)">
      <formula>NOT(ISERROR(SEARCH("P1 (2017)",B200)))</formula>
    </cfRule>
  </conditionalFormatting>
  <conditionalFormatting sqref="B201:B202">
    <cfRule type="expression" dxfId="742" priority="680">
      <formula>"P7 (2016)"</formula>
    </cfRule>
  </conditionalFormatting>
  <conditionalFormatting sqref="B201:B202">
    <cfRule type="containsText" dxfId="741" priority="673" operator="containsText" text="P7 (2016)">
      <formula>NOT(ISERROR(SEARCH("P7 (2016)",B201)))</formula>
    </cfRule>
    <cfRule type="containsText" dxfId="740" priority="674" operator="containsText" text="NP">
      <formula>NOT(ISERROR(SEARCH("NP",B201)))</formula>
    </cfRule>
    <cfRule type="containsText" dxfId="739" priority="675" operator="containsText" text="P7 (2015/ON HILL)">
      <formula>NOT(ISERROR(SEARCH("P7 (2015/ON HILL)",B201)))</formula>
    </cfRule>
    <cfRule type="containsText" dxfId="738" priority="676" operator="containsText" text="M (2015/NURSERY)">
      <formula>NOT(ISERROR(SEARCH("M (2015/NURSERY)",B201)))</formula>
    </cfRule>
    <cfRule type="containsText" dxfId="737" priority="677" operator="containsText" text="M (2016/PLOT3)">
      <formula>NOT(ISERROR(SEARCH("M (2016/PLOT3)",B201)))</formula>
    </cfRule>
    <cfRule type="containsText" dxfId="736" priority="678" operator="containsText" text="M (2017)">
      <formula>NOT(ISERROR(SEARCH("M (2017)",B201)))</formula>
    </cfRule>
    <cfRule type="containsText" dxfId="735" priority="679" operator="containsText" text="P1 (2017)">
      <formula>NOT(ISERROR(SEARCH("P1 (2017)",B201)))</formula>
    </cfRule>
  </conditionalFormatting>
  <conditionalFormatting sqref="B203">
    <cfRule type="expression" dxfId="734" priority="672">
      <formula>"P7 (2016)"</formula>
    </cfRule>
  </conditionalFormatting>
  <conditionalFormatting sqref="B203">
    <cfRule type="containsText" dxfId="733" priority="665" operator="containsText" text="P7 (2016)">
      <formula>NOT(ISERROR(SEARCH("P7 (2016)",B203)))</formula>
    </cfRule>
    <cfRule type="containsText" dxfId="732" priority="666" operator="containsText" text="NP">
      <formula>NOT(ISERROR(SEARCH("NP",B203)))</formula>
    </cfRule>
    <cfRule type="containsText" dxfId="731" priority="667" operator="containsText" text="P7 (2015/ON HILL)">
      <formula>NOT(ISERROR(SEARCH("P7 (2015/ON HILL)",B203)))</formula>
    </cfRule>
    <cfRule type="containsText" dxfId="730" priority="668" operator="containsText" text="M (2015/NURSERY)">
      <formula>NOT(ISERROR(SEARCH("M (2015/NURSERY)",B203)))</formula>
    </cfRule>
    <cfRule type="containsText" dxfId="729" priority="669" operator="containsText" text="M (2016/PLOT3)">
      <formula>NOT(ISERROR(SEARCH("M (2016/PLOT3)",B203)))</formula>
    </cfRule>
    <cfRule type="containsText" dxfId="728" priority="670" operator="containsText" text="M (2017)">
      <formula>NOT(ISERROR(SEARCH("M (2017)",B203)))</formula>
    </cfRule>
    <cfRule type="containsText" dxfId="727" priority="671" operator="containsText" text="P1 (2017)">
      <formula>NOT(ISERROR(SEARCH("P1 (2017)",B203)))</formula>
    </cfRule>
  </conditionalFormatting>
  <conditionalFormatting sqref="B204">
    <cfRule type="expression" dxfId="726" priority="664">
      <formula>"P7 (2016)"</formula>
    </cfRule>
  </conditionalFormatting>
  <conditionalFormatting sqref="B204">
    <cfRule type="containsText" dxfId="725" priority="657" operator="containsText" text="P7 (2016)">
      <formula>NOT(ISERROR(SEARCH("P7 (2016)",B204)))</formula>
    </cfRule>
    <cfRule type="containsText" dxfId="724" priority="658" operator="containsText" text="NP">
      <formula>NOT(ISERROR(SEARCH("NP",B204)))</formula>
    </cfRule>
    <cfRule type="containsText" dxfId="723" priority="659" operator="containsText" text="P7 (2015/ON HILL)">
      <formula>NOT(ISERROR(SEARCH("P7 (2015/ON HILL)",B204)))</formula>
    </cfRule>
    <cfRule type="containsText" dxfId="722" priority="660" operator="containsText" text="M (2015/NURSERY)">
      <formula>NOT(ISERROR(SEARCH("M (2015/NURSERY)",B204)))</formula>
    </cfRule>
    <cfRule type="containsText" dxfId="721" priority="661" operator="containsText" text="M (2016/PLOT3)">
      <formula>NOT(ISERROR(SEARCH("M (2016/PLOT3)",B204)))</formula>
    </cfRule>
    <cfRule type="containsText" dxfId="720" priority="662" operator="containsText" text="M (2017)">
      <formula>NOT(ISERROR(SEARCH("M (2017)",B204)))</formula>
    </cfRule>
    <cfRule type="containsText" dxfId="719" priority="663" operator="containsText" text="P1 (2017)">
      <formula>NOT(ISERROR(SEARCH("P1 (2017)",B204)))</formula>
    </cfRule>
  </conditionalFormatting>
  <conditionalFormatting sqref="B205">
    <cfRule type="expression" dxfId="718" priority="656">
      <formula>"P7 (2016)"</formula>
    </cfRule>
  </conditionalFormatting>
  <conditionalFormatting sqref="B205">
    <cfRule type="containsText" dxfId="717" priority="649" operator="containsText" text="P7 (2016)">
      <formula>NOT(ISERROR(SEARCH("P7 (2016)",B205)))</formula>
    </cfRule>
    <cfRule type="containsText" dxfId="716" priority="650" operator="containsText" text="NP">
      <formula>NOT(ISERROR(SEARCH("NP",B205)))</formula>
    </cfRule>
    <cfRule type="containsText" dxfId="715" priority="651" operator="containsText" text="P7 (2015/ON HILL)">
      <formula>NOT(ISERROR(SEARCH("P7 (2015/ON HILL)",B205)))</formula>
    </cfRule>
    <cfRule type="containsText" dxfId="714" priority="652" operator="containsText" text="M (2015/NURSERY)">
      <formula>NOT(ISERROR(SEARCH("M (2015/NURSERY)",B205)))</formula>
    </cfRule>
    <cfRule type="containsText" dxfId="713" priority="653" operator="containsText" text="M (2016/PLOT3)">
      <formula>NOT(ISERROR(SEARCH("M (2016/PLOT3)",B205)))</formula>
    </cfRule>
    <cfRule type="containsText" dxfId="712" priority="654" operator="containsText" text="M (2017)">
      <formula>NOT(ISERROR(SEARCH("M (2017)",B205)))</formula>
    </cfRule>
    <cfRule type="containsText" dxfId="711" priority="655" operator="containsText" text="P1 (2017)">
      <formula>NOT(ISERROR(SEARCH("P1 (2017)",B205)))</formula>
    </cfRule>
  </conditionalFormatting>
  <conditionalFormatting sqref="B206">
    <cfRule type="expression" dxfId="710" priority="648">
      <formula>"P7 (2016)"</formula>
    </cfRule>
  </conditionalFormatting>
  <conditionalFormatting sqref="B206">
    <cfRule type="containsText" dxfId="709" priority="641" operator="containsText" text="P7 (2016)">
      <formula>NOT(ISERROR(SEARCH("P7 (2016)",B206)))</formula>
    </cfRule>
    <cfRule type="containsText" dxfId="708" priority="642" operator="containsText" text="NP">
      <formula>NOT(ISERROR(SEARCH("NP",B206)))</formula>
    </cfRule>
    <cfRule type="containsText" dxfId="707" priority="643" operator="containsText" text="P7 (2015/ON HILL)">
      <formula>NOT(ISERROR(SEARCH("P7 (2015/ON HILL)",B206)))</formula>
    </cfRule>
    <cfRule type="containsText" dxfId="706" priority="644" operator="containsText" text="M (2015/NURSERY)">
      <formula>NOT(ISERROR(SEARCH("M (2015/NURSERY)",B206)))</formula>
    </cfRule>
    <cfRule type="containsText" dxfId="705" priority="645" operator="containsText" text="M (2016/PLOT3)">
      <formula>NOT(ISERROR(SEARCH("M (2016/PLOT3)",B206)))</formula>
    </cfRule>
    <cfRule type="containsText" dxfId="704" priority="646" operator="containsText" text="M (2017)">
      <formula>NOT(ISERROR(SEARCH("M (2017)",B206)))</formula>
    </cfRule>
    <cfRule type="containsText" dxfId="703" priority="647" operator="containsText" text="P1 (2017)">
      <formula>NOT(ISERROR(SEARCH("P1 (2017)",B206)))</formula>
    </cfRule>
  </conditionalFormatting>
  <conditionalFormatting sqref="B207">
    <cfRule type="expression" dxfId="702" priority="640">
      <formula>"P7 (2016)"</formula>
    </cfRule>
  </conditionalFormatting>
  <conditionalFormatting sqref="B207">
    <cfRule type="containsText" dxfId="701" priority="633" operator="containsText" text="P7 (2016)">
      <formula>NOT(ISERROR(SEARCH("P7 (2016)",B207)))</formula>
    </cfRule>
    <cfRule type="containsText" dxfId="700" priority="634" operator="containsText" text="NP">
      <formula>NOT(ISERROR(SEARCH("NP",B207)))</formula>
    </cfRule>
    <cfRule type="containsText" dxfId="699" priority="635" operator="containsText" text="P7 (2015/ON HILL)">
      <formula>NOT(ISERROR(SEARCH("P7 (2015/ON HILL)",B207)))</formula>
    </cfRule>
    <cfRule type="containsText" dxfId="698" priority="636" operator="containsText" text="M (2015/NURSERY)">
      <formula>NOT(ISERROR(SEARCH("M (2015/NURSERY)",B207)))</formula>
    </cfRule>
    <cfRule type="containsText" dxfId="697" priority="637" operator="containsText" text="M (2016/PLOT3)">
      <formula>NOT(ISERROR(SEARCH("M (2016/PLOT3)",B207)))</formula>
    </cfRule>
    <cfRule type="containsText" dxfId="696" priority="638" operator="containsText" text="M (2017)">
      <formula>NOT(ISERROR(SEARCH("M (2017)",B207)))</formula>
    </cfRule>
    <cfRule type="containsText" dxfId="695" priority="639" operator="containsText" text="P1 (2017)">
      <formula>NOT(ISERROR(SEARCH("P1 (2017)",B207)))</formula>
    </cfRule>
  </conditionalFormatting>
  <conditionalFormatting sqref="B208">
    <cfRule type="expression" dxfId="694" priority="632">
      <formula>"P7 (2016)"</formula>
    </cfRule>
  </conditionalFormatting>
  <conditionalFormatting sqref="B208">
    <cfRule type="containsText" dxfId="693" priority="625" operator="containsText" text="P7 (2016)">
      <formula>NOT(ISERROR(SEARCH("P7 (2016)",B208)))</formula>
    </cfRule>
    <cfRule type="containsText" dxfId="692" priority="626" operator="containsText" text="NP">
      <formula>NOT(ISERROR(SEARCH("NP",B208)))</formula>
    </cfRule>
    <cfRule type="containsText" dxfId="691" priority="627" operator="containsText" text="P7 (2015/ON HILL)">
      <formula>NOT(ISERROR(SEARCH("P7 (2015/ON HILL)",B208)))</formula>
    </cfRule>
    <cfRule type="containsText" dxfId="690" priority="628" operator="containsText" text="M (2015/NURSERY)">
      <formula>NOT(ISERROR(SEARCH("M (2015/NURSERY)",B208)))</formula>
    </cfRule>
    <cfRule type="containsText" dxfId="689" priority="629" operator="containsText" text="M (2016/PLOT3)">
      <formula>NOT(ISERROR(SEARCH("M (2016/PLOT3)",B208)))</formula>
    </cfRule>
    <cfRule type="containsText" dxfId="688" priority="630" operator="containsText" text="M (2017)">
      <formula>NOT(ISERROR(SEARCH("M (2017)",B208)))</formula>
    </cfRule>
    <cfRule type="containsText" dxfId="687" priority="631" operator="containsText" text="P1 (2017)">
      <formula>NOT(ISERROR(SEARCH("P1 (2017)",B208)))</formula>
    </cfRule>
  </conditionalFormatting>
  <conditionalFormatting sqref="B210:B213">
    <cfRule type="expression" dxfId="686" priority="624">
      <formula>"P7 (2016)"</formula>
    </cfRule>
  </conditionalFormatting>
  <conditionalFormatting sqref="B210:B213">
    <cfRule type="containsText" dxfId="685" priority="617" operator="containsText" text="P7 (2016)">
      <formula>NOT(ISERROR(SEARCH("P7 (2016)",B210)))</formula>
    </cfRule>
    <cfRule type="containsText" dxfId="684" priority="618" operator="containsText" text="NP">
      <formula>NOT(ISERROR(SEARCH("NP",B210)))</formula>
    </cfRule>
    <cfRule type="containsText" dxfId="683" priority="619" operator="containsText" text="P7 (2015/ON HILL)">
      <formula>NOT(ISERROR(SEARCH("P7 (2015/ON HILL)",B210)))</formula>
    </cfRule>
    <cfRule type="containsText" dxfId="682" priority="620" operator="containsText" text="M (2015/NURSERY)">
      <formula>NOT(ISERROR(SEARCH("M (2015/NURSERY)",B210)))</formula>
    </cfRule>
    <cfRule type="containsText" dxfId="681" priority="621" operator="containsText" text="M (2016/PLOT3)">
      <formula>NOT(ISERROR(SEARCH("M (2016/PLOT3)",B210)))</formula>
    </cfRule>
    <cfRule type="containsText" dxfId="680" priority="622" operator="containsText" text="M (2017)">
      <formula>NOT(ISERROR(SEARCH("M (2017)",B210)))</formula>
    </cfRule>
    <cfRule type="containsText" dxfId="679" priority="623" operator="containsText" text="P1 (2017)">
      <formula>NOT(ISERROR(SEARCH("P1 (2017)",B210)))</formula>
    </cfRule>
  </conditionalFormatting>
  <conditionalFormatting sqref="B214:B216">
    <cfRule type="expression" dxfId="678" priority="616">
      <formula>"P7 (2016)"</formula>
    </cfRule>
  </conditionalFormatting>
  <conditionalFormatting sqref="B214:B216">
    <cfRule type="containsText" dxfId="677" priority="609" operator="containsText" text="P7 (2016)">
      <formula>NOT(ISERROR(SEARCH("P7 (2016)",B214)))</formula>
    </cfRule>
    <cfRule type="containsText" dxfId="676" priority="610" operator="containsText" text="NP">
      <formula>NOT(ISERROR(SEARCH("NP",B214)))</formula>
    </cfRule>
    <cfRule type="containsText" dxfId="675" priority="611" operator="containsText" text="P7 (2015/ON HILL)">
      <formula>NOT(ISERROR(SEARCH("P7 (2015/ON HILL)",B214)))</formula>
    </cfRule>
    <cfRule type="containsText" dxfId="674" priority="612" operator="containsText" text="M (2015/NURSERY)">
      <formula>NOT(ISERROR(SEARCH("M (2015/NURSERY)",B214)))</formula>
    </cfRule>
    <cfRule type="containsText" dxfId="673" priority="613" operator="containsText" text="M (2016/PLOT3)">
      <formula>NOT(ISERROR(SEARCH("M (2016/PLOT3)",B214)))</formula>
    </cfRule>
    <cfRule type="containsText" dxfId="672" priority="614" operator="containsText" text="M (2017)">
      <formula>NOT(ISERROR(SEARCH("M (2017)",B214)))</formula>
    </cfRule>
    <cfRule type="containsText" dxfId="671" priority="615" operator="containsText" text="P1 (2017)">
      <formula>NOT(ISERROR(SEARCH("P1 (2017)",B214)))</formula>
    </cfRule>
  </conditionalFormatting>
  <conditionalFormatting sqref="B217">
    <cfRule type="expression" dxfId="670" priority="608">
      <formula>"P7 (2016)"</formula>
    </cfRule>
  </conditionalFormatting>
  <conditionalFormatting sqref="B217">
    <cfRule type="containsText" dxfId="669" priority="601" operator="containsText" text="P7 (2016)">
      <formula>NOT(ISERROR(SEARCH("P7 (2016)",B217)))</formula>
    </cfRule>
    <cfRule type="containsText" dxfId="668" priority="602" operator="containsText" text="NP">
      <formula>NOT(ISERROR(SEARCH("NP",B217)))</formula>
    </cfRule>
    <cfRule type="containsText" dxfId="667" priority="603" operator="containsText" text="P7 (2015/ON HILL)">
      <formula>NOT(ISERROR(SEARCH("P7 (2015/ON HILL)",B217)))</formula>
    </cfRule>
    <cfRule type="containsText" dxfId="666" priority="604" operator="containsText" text="M (2015/NURSERY)">
      <formula>NOT(ISERROR(SEARCH("M (2015/NURSERY)",B217)))</formula>
    </cfRule>
    <cfRule type="containsText" dxfId="665" priority="605" operator="containsText" text="M (2016/PLOT3)">
      <formula>NOT(ISERROR(SEARCH("M (2016/PLOT3)",B217)))</formula>
    </cfRule>
    <cfRule type="containsText" dxfId="664" priority="606" operator="containsText" text="M (2017)">
      <formula>NOT(ISERROR(SEARCH("M (2017)",B217)))</formula>
    </cfRule>
    <cfRule type="containsText" dxfId="663" priority="607" operator="containsText" text="P1 (2017)">
      <formula>NOT(ISERROR(SEARCH("P1 (2017)",B217)))</formula>
    </cfRule>
  </conditionalFormatting>
  <conditionalFormatting sqref="B219">
    <cfRule type="expression" dxfId="662" priority="600">
      <formula>"P7 (2016)"</formula>
    </cfRule>
  </conditionalFormatting>
  <conditionalFormatting sqref="B219">
    <cfRule type="containsText" dxfId="661" priority="593" operator="containsText" text="P7 (2016)">
      <formula>NOT(ISERROR(SEARCH("P7 (2016)",B219)))</formula>
    </cfRule>
    <cfRule type="containsText" dxfId="660" priority="594" operator="containsText" text="NP">
      <formula>NOT(ISERROR(SEARCH("NP",B219)))</formula>
    </cfRule>
    <cfRule type="containsText" dxfId="659" priority="595" operator="containsText" text="P7 (2015/ON HILL)">
      <formula>NOT(ISERROR(SEARCH("P7 (2015/ON HILL)",B219)))</formula>
    </cfRule>
    <cfRule type="containsText" dxfId="658" priority="596" operator="containsText" text="M (2015/NURSERY)">
      <formula>NOT(ISERROR(SEARCH("M (2015/NURSERY)",B219)))</formula>
    </cfRule>
    <cfRule type="containsText" dxfId="657" priority="597" operator="containsText" text="M (2016/PLOT3)">
      <formula>NOT(ISERROR(SEARCH("M (2016/PLOT3)",B219)))</formula>
    </cfRule>
    <cfRule type="containsText" dxfId="656" priority="598" operator="containsText" text="M (2017)">
      <formula>NOT(ISERROR(SEARCH("M (2017)",B219)))</formula>
    </cfRule>
    <cfRule type="containsText" dxfId="655" priority="599" operator="containsText" text="P1 (2017)">
      <formula>NOT(ISERROR(SEARCH("P1 (2017)",B219)))</formula>
    </cfRule>
  </conditionalFormatting>
  <conditionalFormatting sqref="B211">
    <cfRule type="expression" dxfId="654" priority="592">
      <formula>"P7 (2016)"</formula>
    </cfRule>
  </conditionalFormatting>
  <conditionalFormatting sqref="B211">
    <cfRule type="containsText" dxfId="653" priority="585" operator="containsText" text="P7 (2016)">
      <formula>NOT(ISERROR(SEARCH("P7 (2016)",B211)))</formula>
    </cfRule>
    <cfRule type="containsText" dxfId="652" priority="586" operator="containsText" text="NP">
      <formula>NOT(ISERROR(SEARCH("NP",B211)))</formula>
    </cfRule>
    <cfRule type="containsText" dxfId="651" priority="587" operator="containsText" text="P7 (2015/ON HILL)">
      <formula>NOT(ISERROR(SEARCH("P7 (2015/ON HILL)",B211)))</formula>
    </cfRule>
    <cfRule type="containsText" dxfId="650" priority="588" operator="containsText" text="M (2015/NURSERY)">
      <formula>NOT(ISERROR(SEARCH("M (2015/NURSERY)",B211)))</formula>
    </cfRule>
    <cfRule type="containsText" dxfId="649" priority="589" operator="containsText" text="M (2016/PLOT3)">
      <formula>NOT(ISERROR(SEARCH("M (2016/PLOT3)",B211)))</formula>
    </cfRule>
    <cfRule type="containsText" dxfId="648" priority="590" operator="containsText" text="M (2017)">
      <formula>NOT(ISERROR(SEARCH("M (2017)",B211)))</formula>
    </cfRule>
    <cfRule type="containsText" dxfId="647" priority="591" operator="containsText" text="P1 (2017)">
      <formula>NOT(ISERROR(SEARCH("P1 (2017)",B211)))</formula>
    </cfRule>
  </conditionalFormatting>
  <conditionalFormatting sqref="B212:B213">
    <cfRule type="expression" dxfId="646" priority="584">
      <formula>"P7 (2016)"</formula>
    </cfRule>
  </conditionalFormatting>
  <conditionalFormatting sqref="B212:B213">
    <cfRule type="containsText" dxfId="645" priority="577" operator="containsText" text="P7 (2016)">
      <formula>NOT(ISERROR(SEARCH("P7 (2016)",B212)))</formula>
    </cfRule>
    <cfRule type="containsText" dxfId="644" priority="578" operator="containsText" text="NP">
      <formula>NOT(ISERROR(SEARCH("NP",B212)))</formula>
    </cfRule>
    <cfRule type="containsText" dxfId="643" priority="579" operator="containsText" text="P7 (2015/ON HILL)">
      <formula>NOT(ISERROR(SEARCH("P7 (2015/ON HILL)",B212)))</formula>
    </cfRule>
    <cfRule type="containsText" dxfId="642" priority="580" operator="containsText" text="M (2015/NURSERY)">
      <formula>NOT(ISERROR(SEARCH("M (2015/NURSERY)",B212)))</formula>
    </cfRule>
    <cfRule type="containsText" dxfId="641" priority="581" operator="containsText" text="M (2016/PLOT3)">
      <formula>NOT(ISERROR(SEARCH("M (2016/PLOT3)",B212)))</formula>
    </cfRule>
    <cfRule type="containsText" dxfId="640" priority="582" operator="containsText" text="M (2017)">
      <formula>NOT(ISERROR(SEARCH("M (2017)",B212)))</formula>
    </cfRule>
    <cfRule type="containsText" dxfId="639" priority="583" operator="containsText" text="P1 (2017)">
      <formula>NOT(ISERROR(SEARCH("P1 (2017)",B212)))</formula>
    </cfRule>
  </conditionalFormatting>
  <conditionalFormatting sqref="B221:B224">
    <cfRule type="expression" dxfId="638" priority="576">
      <formula>"P7 (2016)"</formula>
    </cfRule>
  </conditionalFormatting>
  <conditionalFormatting sqref="B221:B224">
    <cfRule type="containsText" dxfId="637" priority="569" operator="containsText" text="P7 (2016)">
      <formula>NOT(ISERROR(SEARCH("P7 (2016)",B221)))</formula>
    </cfRule>
    <cfRule type="containsText" dxfId="636" priority="570" operator="containsText" text="NP">
      <formula>NOT(ISERROR(SEARCH("NP",B221)))</formula>
    </cfRule>
    <cfRule type="containsText" dxfId="635" priority="571" operator="containsText" text="P7 (2015/ON HILL)">
      <formula>NOT(ISERROR(SEARCH("P7 (2015/ON HILL)",B221)))</formula>
    </cfRule>
    <cfRule type="containsText" dxfId="634" priority="572" operator="containsText" text="M (2015/NURSERY)">
      <formula>NOT(ISERROR(SEARCH("M (2015/NURSERY)",B221)))</formula>
    </cfRule>
    <cfRule type="containsText" dxfId="633" priority="573" operator="containsText" text="M (2016/PLOT3)">
      <formula>NOT(ISERROR(SEARCH("M (2016/PLOT3)",B221)))</formula>
    </cfRule>
    <cfRule type="containsText" dxfId="632" priority="574" operator="containsText" text="M (2017)">
      <formula>NOT(ISERROR(SEARCH("M (2017)",B221)))</formula>
    </cfRule>
    <cfRule type="containsText" dxfId="631" priority="575" operator="containsText" text="P1 (2017)">
      <formula>NOT(ISERROR(SEARCH("P1 (2017)",B221)))</formula>
    </cfRule>
  </conditionalFormatting>
  <conditionalFormatting sqref="B3">
    <cfRule type="expression" dxfId="630" priority="568">
      <formula>"P7 (2016)"</formula>
    </cfRule>
  </conditionalFormatting>
  <conditionalFormatting sqref="B3">
    <cfRule type="containsText" dxfId="629" priority="561" operator="containsText" text="P7 (2016)">
      <formula>NOT(ISERROR(SEARCH("P7 (2016)",B3)))</formula>
    </cfRule>
    <cfRule type="containsText" dxfId="628" priority="562" operator="containsText" text="NP">
      <formula>NOT(ISERROR(SEARCH("NP",B3)))</formula>
    </cfRule>
    <cfRule type="containsText" dxfId="627" priority="563" operator="containsText" text="P7 (2015/ON HILL)">
      <formula>NOT(ISERROR(SEARCH("P7 (2015/ON HILL)",B3)))</formula>
    </cfRule>
    <cfRule type="containsText" dxfId="626" priority="564" operator="containsText" text="M (2015/NURSERY)">
      <formula>NOT(ISERROR(SEARCH("M (2015/NURSERY)",B3)))</formula>
    </cfRule>
    <cfRule type="containsText" dxfId="625" priority="565" operator="containsText" text="M (2016/PLOT3)">
      <formula>NOT(ISERROR(SEARCH("M (2016/PLOT3)",B3)))</formula>
    </cfRule>
    <cfRule type="containsText" dxfId="624" priority="566" operator="containsText" text="M (2017)">
      <formula>NOT(ISERROR(SEARCH("M (2017)",B3)))</formula>
    </cfRule>
    <cfRule type="containsText" dxfId="623" priority="567" operator="containsText" text="P1 (2017)">
      <formula>NOT(ISERROR(SEARCH("P1 (2017)",B3)))</formula>
    </cfRule>
  </conditionalFormatting>
  <conditionalFormatting sqref="B225">
    <cfRule type="expression" dxfId="622" priority="560">
      <formula>"P7 (2016)"</formula>
    </cfRule>
  </conditionalFormatting>
  <conditionalFormatting sqref="B225">
    <cfRule type="containsText" dxfId="621" priority="553" operator="containsText" text="P7 (2016)">
      <formula>NOT(ISERROR(SEARCH("P7 (2016)",B225)))</formula>
    </cfRule>
    <cfRule type="containsText" dxfId="620" priority="554" operator="containsText" text="NP">
      <formula>NOT(ISERROR(SEARCH("NP",B225)))</formula>
    </cfRule>
    <cfRule type="containsText" dxfId="619" priority="555" operator="containsText" text="P7 (2015/ON HILL)">
      <formula>NOT(ISERROR(SEARCH("P7 (2015/ON HILL)",B225)))</formula>
    </cfRule>
    <cfRule type="containsText" dxfId="618" priority="556" operator="containsText" text="M (2015/NURSERY)">
      <formula>NOT(ISERROR(SEARCH("M (2015/NURSERY)",B225)))</formula>
    </cfRule>
    <cfRule type="containsText" dxfId="617" priority="557" operator="containsText" text="M (2016/PLOT3)">
      <formula>NOT(ISERROR(SEARCH("M (2016/PLOT3)",B225)))</formula>
    </cfRule>
    <cfRule type="containsText" dxfId="616" priority="558" operator="containsText" text="M (2017)">
      <formula>NOT(ISERROR(SEARCH("M (2017)",B225)))</formula>
    </cfRule>
    <cfRule type="containsText" dxfId="615" priority="559" operator="containsText" text="P1 (2017)">
      <formula>NOT(ISERROR(SEARCH("P1 (2017)",B225)))</formula>
    </cfRule>
  </conditionalFormatting>
  <conditionalFormatting sqref="B226">
    <cfRule type="expression" dxfId="614" priority="552">
      <formula>"P7 (2016)"</formula>
    </cfRule>
  </conditionalFormatting>
  <conditionalFormatting sqref="B226">
    <cfRule type="containsText" dxfId="613" priority="545" operator="containsText" text="P7 (2016)">
      <formula>NOT(ISERROR(SEARCH("P7 (2016)",B226)))</formula>
    </cfRule>
    <cfRule type="containsText" dxfId="612" priority="546" operator="containsText" text="NP">
      <formula>NOT(ISERROR(SEARCH("NP",B226)))</formula>
    </cfRule>
    <cfRule type="containsText" dxfId="611" priority="547" operator="containsText" text="P7 (2015/ON HILL)">
      <formula>NOT(ISERROR(SEARCH("P7 (2015/ON HILL)",B226)))</formula>
    </cfRule>
    <cfRule type="containsText" dxfId="610" priority="548" operator="containsText" text="M (2015/NURSERY)">
      <formula>NOT(ISERROR(SEARCH("M (2015/NURSERY)",B226)))</formula>
    </cfRule>
    <cfRule type="containsText" dxfId="609" priority="549" operator="containsText" text="M (2016/PLOT3)">
      <formula>NOT(ISERROR(SEARCH("M (2016/PLOT3)",B226)))</formula>
    </cfRule>
    <cfRule type="containsText" dxfId="608" priority="550" operator="containsText" text="M (2017)">
      <formula>NOT(ISERROR(SEARCH("M (2017)",B226)))</formula>
    </cfRule>
    <cfRule type="containsText" dxfId="607" priority="551" operator="containsText" text="P1 (2017)">
      <formula>NOT(ISERROR(SEARCH("P1 (2017)",B226)))</formula>
    </cfRule>
  </conditionalFormatting>
  <conditionalFormatting sqref="B227">
    <cfRule type="expression" dxfId="606" priority="544">
      <formula>"P7 (2016)"</formula>
    </cfRule>
  </conditionalFormatting>
  <conditionalFormatting sqref="B227">
    <cfRule type="containsText" dxfId="605" priority="537" operator="containsText" text="P7 (2016)">
      <formula>NOT(ISERROR(SEARCH("P7 (2016)",B227)))</formula>
    </cfRule>
    <cfRule type="containsText" dxfId="604" priority="538" operator="containsText" text="NP">
      <formula>NOT(ISERROR(SEARCH("NP",B227)))</formula>
    </cfRule>
    <cfRule type="containsText" dxfId="603" priority="539" operator="containsText" text="P7 (2015/ON HILL)">
      <formula>NOT(ISERROR(SEARCH("P7 (2015/ON HILL)",B227)))</formula>
    </cfRule>
    <cfRule type="containsText" dxfId="602" priority="540" operator="containsText" text="M (2015/NURSERY)">
      <formula>NOT(ISERROR(SEARCH("M (2015/NURSERY)",B227)))</formula>
    </cfRule>
    <cfRule type="containsText" dxfId="601" priority="541" operator="containsText" text="M (2016/PLOT3)">
      <formula>NOT(ISERROR(SEARCH("M (2016/PLOT3)",B227)))</formula>
    </cfRule>
    <cfRule type="containsText" dxfId="600" priority="542" operator="containsText" text="M (2017)">
      <formula>NOT(ISERROR(SEARCH("M (2017)",B227)))</formula>
    </cfRule>
    <cfRule type="containsText" dxfId="599" priority="543" operator="containsText" text="P1 (2017)">
      <formula>NOT(ISERROR(SEARCH("P1 (2017)",B227)))</formula>
    </cfRule>
  </conditionalFormatting>
  <conditionalFormatting sqref="B228">
    <cfRule type="expression" dxfId="598" priority="536">
      <formula>"P7 (2016)"</formula>
    </cfRule>
  </conditionalFormatting>
  <conditionalFormatting sqref="B228">
    <cfRule type="containsText" dxfId="597" priority="529" operator="containsText" text="P7 (2016)">
      <formula>NOT(ISERROR(SEARCH("P7 (2016)",B228)))</formula>
    </cfRule>
    <cfRule type="containsText" dxfId="596" priority="530" operator="containsText" text="NP">
      <formula>NOT(ISERROR(SEARCH("NP",B228)))</formula>
    </cfRule>
    <cfRule type="containsText" dxfId="595" priority="531" operator="containsText" text="P7 (2015/ON HILL)">
      <formula>NOT(ISERROR(SEARCH("P7 (2015/ON HILL)",B228)))</formula>
    </cfRule>
    <cfRule type="containsText" dxfId="594" priority="532" operator="containsText" text="M (2015/NURSERY)">
      <formula>NOT(ISERROR(SEARCH("M (2015/NURSERY)",B228)))</formula>
    </cfRule>
    <cfRule type="containsText" dxfId="593" priority="533" operator="containsText" text="M (2016/PLOT3)">
      <formula>NOT(ISERROR(SEARCH("M (2016/PLOT3)",B228)))</formula>
    </cfRule>
    <cfRule type="containsText" dxfId="592" priority="534" operator="containsText" text="M (2017)">
      <formula>NOT(ISERROR(SEARCH("M (2017)",B228)))</formula>
    </cfRule>
    <cfRule type="containsText" dxfId="591" priority="535" operator="containsText" text="P1 (2017)">
      <formula>NOT(ISERROR(SEARCH("P1 (2017)",B228)))</formula>
    </cfRule>
  </conditionalFormatting>
  <conditionalFormatting sqref="B229:B230">
    <cfRule type="expression" dxfId="590" priority="528">
      <formula>"P7 (2016)"</formula>
    </cfRule>
  </conditionalFormatting>
  <conditionalFormatting sqref="B229:B230">
    <cfRule type="containsText" dxfId="589" priority="521" operator="containsText" text="P7 (2016)">
      <formula>NOT(ISERROR(SEARCH("P7 (2016)",B229)))</formula>
    </cfRule>
    <cfRule type="containsText" dxfId="588" priority="522" operator="containsText" text="NP">
      <formula>NOT(ISERROR(SEARCH("NP",B229)))</formula>
    </cfRule>
    <cfRule type="containsText" dxfId="587" priority="523" operator="containsText" text="P7 (2015/ON HILL)">
      <formula>NOT(ISERROR(SEARCH("P7 (2015/ON HILL)",B229)))</formula>
    </cfRule>
    <cfRule type="containsText" dxfId="586" priority="524" operator="containsText" text="M (2015/NURSERY)">
      <formula>NOT(ISERROR(SEARCH("M (2015/NURSERY)",B229)))</formula>
    </cfRule>
    <cfRule type="containsText" dxfId="585" priority="525" operator="containsText" text="M (2016/PLOT3)">
      <formula>NOT(ISERROR(SEARCH("M (2016/PLOT3)",B229)))</formula>
    </cfRule>
    <cfRule type="containsText" dxfId="584" priority="526" operator="containsText" text="M (2017)">
      <formula>NOT(ISERROR(SEARCH("M (2017)",B229)))</formula>
    </cfRule>
    <cfRule type="containsText" dxfId="583" priority="527" operator="containsText" text="P1 (2017)">
      <formula>NOT(ISERROR(SEARCH("P1 (2017)",B229)))</formula>
    </cfRule>
  </conditionalFormatting>
  <conditionalFormatting sqref="B231">
    <cfRule type="expression" dxfId="582" priority="520">
      <formula>"P7 (2016)"</formula>
    </cfRule>
  </conditionalFormatting>
  <conditionalFormatting sqref="B231">
    <cfRule type="containsText" dxfId="581" priority="513" operator="containsText" text="P7 (2016)">
      <formula>NOT(ISERROR(SEARCH("P7 (2016)",B231)))</formula>
    </cfRule>
    <cfRule type="containsText" dxfId="580" priority="514" operator="containsText" text="NP">
      <formula>NOT(ISERROR(SEARCH("NP",B231)))</formula>
    </cfRule>
    <cfRule type="containsText" dxfId="579" priority="515" operator="containsText" text="P7 (2015/ON HILL)">
      <formula>NOT(ISERROR(SEARCH("P7 (2015/ON HILL)",B231)))</formula>
    </cfRule>
    <cfRule type="containsText" dxfId="578" priority="516" operator="containsText" text="M (2015/NURSERY)">
      <formula>NOT(ISERROR(SEARCH("M (2015/NURSERY)",B231)))</formula>
    </cfRule>
    <cfRule type="containsText" dxfId="577" priority="517" operator="containsText" text="M (2016/PLOT3)">
      <formula>NOT(ISERROR(SEARCH("M (2016/PLOT3)",B231)))</formula>
    </cfRule>
    <cfRule type="containsText" dxfId="576" priority="518" operator="containsText" text="M (2017)">
      <formula>NOT(ISERROR(SEARCH("M (2017)",B231)))</formula>
    </cfRule>
    <cfRule type="containsText" dxfId="575" priority="519" operator="containsText" text="P1 (2017)">
      <formula>NOT(ISERROR(SEARCH("P1 (2017)",B231)))</formula>
    </cfRule>
  </conditionalFormatting>
  <conditionalFormatting sqref="B232">
    <cfRule type="expression" dxfId="574" priority="512">
      <formula>"P7 (2016)"</formula>
    </cfRule>
  </conditionalFormatting>
  <conditionalFormatting sqref="B232">
    <cfRule type="containsText" dxfId="573" priority="505" operator="containsText" text="P7 (2016)">
      <formula>NOT(ISERROR(SEARCH("P7 (2016)",B232)))</formula>
    </cfRule>
    <cfRule type="containsText" dxfId="572" priority="506" operator="containsText" text="NP">
      <formula>NOT(ISERROR(SEARCH("NP",B232)))</formula>
    </cfRule>
    <cfRule type="containsText" dxfId="571" priority="507" operator="containsText" text="P7 (2015/ON HILL)">
      <formula>NOT(ISERROR(SEARCH("P7 (2015/ON HILL)",B232)))</formula>
    </cfRule>
    <cfRule type="containsText" dxfId="570" priority="508" operator="containsText" text="M (2015/NURSERY)">
      <formula>NOT(ISERROR(SEARCH("M (2015/NURSERY)",B232)))</formula>
    </cfRule>
    <cfRule type="containsText" dxfId="569" priority="509" operator="containsText" text="M (2016/PLOT3)">
      <formula>NOT(ISERROR(SEARCH("M (2016/PLOT3)",B232)))</formula>
    </cfRule>
    <cfRule type="containsText" dxfId="568" priority="510" operator="containsText" text="M (2017)">
      <formula>NOT(ISERROR(SEARCH("M (2017)",B232)))</formula>
    </cfRule>
    <cfRule type="containsText" dxfId="567" priority="511" operator="containsText" text="P1 (2017)">
      <formula>NOT(ISERROR(SEARCH("P1 (2017)",B232)))</formula>
    </cfRule>
  </conditionalFormatting>
  <conditionalFormatting sqref="B233">
    <cfRule type="expression" dxfId="566" priority="504">
      <formula>"P7 (2016)"</formula>
    </cfRule>
  </conditionalFormatting>
  <conditionalFormatting sqref="B233">
    <cfRule type="containsText" dxfId="565" priority="497" operator="containsText" text="P7 (2016)">
      <formula>NOT(ISERROR(SEARCH("P7 (2016)",B233)))</formula>
    </cfRule>
    <cfRule type="containsText" dxfId="564" priority="498" operator="containsText" text="NP">
      <formula>NOT(ISERROR(SEARCH("NP",B233)))</formula>
    </cfRule>
    <cfRule type="containsText" dxfId="563" priority="499" operator="containsText" text="P7 (2015/ON HILL)">
      <formula>NOT(ISERROR(SEARCH("P7 (2015/ON HILL)",B233)))</formula>
    </cfRule>
    <cfRule type="containsText" dxfId="562" priority="500" operator="containsText" text="M (2015/NURSERY)">
      <formula>NOT(ISERROR(SEARCH("M (2015/NURSERY)",B233)))</formula>
    </cfRule>
    <cfRule type="containsText" dxfId="561" priority="501" operator="containsText" text="M (2016/PLOT3)">
      <formula>NOT(ISERROR(SEARCH("M (2016/PLOT3)",B233)))</formula>
    </cfRule>
    <cfRule type="containsText" dxfId="560" priority="502" operator="containsText" text="M (2017)">
      <formula>NOT(ISERROR(SEARCH("M (2017)",B233)))</formula>
    </cfRule>
    <cfRule type="containsText" dxfId="559" priority="503" operator="containsText" text="P1 (2017)">
      <formula>NOT(ISERROR(SEARCH("P1 (2017)",B233)))</formula>
    </cfRule>
  </conditionalFormatting>
  <conditionalFormatting sqref="B235">
    <cfRule type="expression" dxfId="558" priority="496">
      <formula>"P7 (2016)"</formula>
    </cfRule>
  </conditionalFormatting>
  <conditionalFormatting sqref="B235">
    <cfRule type="containsText" dxfId="557" priority="489" operator="containsText" text="P7 (2016)">
      <formula>NOT(ISERROR(SEARCH("P7 (2016)",B235)))</formula>
    </cfRule>
    <cfRule type="containsText" dxfId="556" priority="490" operator="containsText" text="NP">
      <formula>NOT(ISERROR(SEARCH("NP",B235)))</formula>
    </cfRule>
    <cfRule type="containsText" dxfId="555" priority="491" operator="containsText" text="P7 (2015/ON HILL)">
      <formula>NOT(ISERROR(SEARCH("P7 (2015/ON HILL)",B235)))</formula>
    </cfRule>
    <cfRule type="containsText" dxfId="554" priority="492" operator="containsText" text="M (2015/NURSERY)">
      <formula>NOT(ISERROR(SEARCH("M (2015/NURSERY)",B235)))</formula>
    </cfRule>
    <cfRule type="containsText" dxfId="553" priority="493" operator="containsText" text="M (2016/PLOT3)">
      <formula>NOT(ISERROR(SEARCH("M (2016/PLOT3)",B235)))</formula>
    </cfRule>
    <cfRule type="containsText" dxfId="552" priority="494" operator="containsText" text="M (2017)">
      <formula>NOT(ISERROR(SEARCH("M (2017)",B235)))</formula>
    </cfRule>
    <cfRule type="containsText" dxfId="551" priority="495" operator="containsText" text="P1 (2017)">
      <formula>NOT(ISERROR(SEARCH("P1 (2017)",B235)))</formula>
    </cfRule>
  </conditionalFormatting>
  <conditionalFormatting sqref="B236">
    <cfRule type="expression" dxfId="550" priority="488">
      <formula>"P7 (2016)"</formula>
    </cfRule>
  </conditionalFormatting>
  <conditionalFormatting sqref="B236">
    <cfRule type="containsText" dxfId="549" priority="481" operator="containsText" text="P7 (2016)">
      <formula>NOT(ISERROR(SEARCH("P7 (2016)",B236)))</formula>
    </cfRule>
    <cfRule type="containsText" dxfId="548" priority="482" operator="containsText" text="NP">
      <formula>NOT(ISERROR(SEARCH("NP",B236)))</formula>
    </cfRule>
    <cfRule type="containsText" dxfId="547" priority="483" operator="containsText" text="P7 (2015/ON HILL)">
      <formula>NOT(ISERROR(SEARCH("P7 (2015/ON HILL)",B236)))</formula>
    </cfRule>
    <cfRule type="containsText" dxfId="546" priority="484" operator="containsText" text="M (2015/NURSERY)">
      <formula>NOT(ISERROR(SEARCH("M (2015/NURSERY)",B236)))</formula>
    </cfRule>
    <cfRule type="containsText" dxfId="545" priority="485" operator="containsText" text="M (2016/PLOT3)">
      <formula>NOT(ISERROR(SEARCH("M (2016/PLOT3)",B236)))</formula>
    </cfRule>
    <cfRule type="containsText" dxfId="544" priority="486" operator="containsText" text="M (2017)">
      <formula>NOT(ISERROR(SEARCH("M (2017)",B236)))</formula>
    </cfRule>
    <cfRule type="containsText" dxfId="543" priority="487" operator="containsText" text="P1 (2017)">
      <formula>NOT(ISERROR(SEARCH("P1 (2017)",B236)))</formula>
    </cfRule>
  </conditionalFormatting>
  <conditionalFormatting sqref="B237">
    <cfRule type="expression" dxfId="542" priority="480">
      <formula>"P7 (2016)"</formula>
    </cfRule>
  </conditionalFormatting>
  <conditionalFormatting sqref="B237">
    <cfRule type="containsText" dxfId="541" priority="473" operator="containsText" text="P7 (2016)">
      <formula>NOT(ISERROR(SEARCH("P7 (2016)",B237)))</formula>
    </cfRule>
    <cfRule type="containsText" dxfId="540" priority="474" operator="containsText" text="NP">
      <formula>NOT(ISERROR(SEARCH("NP",B237)))</formula>
    </cfRule>
    <cfRule type="containsText" dxfId="539" priority="475" operator="containsText" text="P7 (2015/ON HILL)">
      <formula>NOT(ISERROR(SEARCH("P7 (2015/ON HILL)",B237)))</formula>
    </cfRule>
    <cfRule type="containsText" dxfId="538" priority="476" operator="containsText" text="M (2015/NURSERY)">
      <formula>NOT(ISERROR(SEARCH("M (2015/NURSERY)",B237)))</formula>
    </cfRule>
    <cfRule type="containsText" dxfId="537" priority="477" operator="containsText" text="M (2016/PLOT3)">
      <formula>NOT(ISERROR(SEARCH("M (2016/PLOT3)",B237)))</formula>
    </cfRule>
    <cfRule type="containsText" dxfId="536" priority="478" operator="containsText" text="M (2017)">
      <formula>NOT(ISERROR(SEARCH("M (2017)",B237)))</formula>
    </cfRule>
    <cfRule type="containsText" dxfId="535" priority="479" operator="containsText" text="P1 (2017)">
      <formula>NOT(ISERROR(SEARCH("P1 (2017)",B237)))</formula>
    </cfRule>
  </conditionalFormatting>
  <conditionalFormatting sqref="B238:B247">
    <cfRule type="expression" dxfId="534" priority="472">
      <formula>"P7 (2016)"</formula>
    </cfRule>
  </conditionalFormatting>
  <conditionalFormatting sqref="B238:B247">
    <cfRule type="containsText" dxfId="533" priority="465" operator="containsText" text="P7 (2016)">
      <formula>NOT(ISERROR(SEARCH("P7 (2016)",B238)))</formula>
    </cfRule>
    <cfRule type="containsText" dxfId="532" priority="466" operator="containsText" text="NP">
      <formula>NOT(ISERROR(SEARCH("NP",B238)))</formula>
    </cfRule>
    <cfRule type="containsText" dxfId="531" priority="467" operator="containsText" text="P7 (2015/ON HILL)">
      <formula>NOT(ISERROR(SEARCH("P7 (2015/ON HILL)",B238)))</formula>
    </cfRule>
    <cfRule type="containsText" dxfId="530" priority="468" operator="containsText" text="M (2015/NURSERY)">
      <formula>NOT(ISERROR(SEARCH("M (2015/NURSERY)",B238)))</formula>
    </cfRule>
    <cfRule type="containsText" dxfId="529" priority="469" operator="containsText" text="M (2016/PLOT3)">
      <formula>NOT(ISERROR(SEARCH("M (2016/PLOT3)",B238)))</formula>
    </cfRule>
    <cfRule type="containsText" dxfId="528" priority="470" operator="containsText" text="M (2017)">
      <formula>NOT(ISERROR(SEARCH("M (2017)",B238)))</formula>
    </cfRule>
    <cfRule type="containsText" dxfId="527" priority="471" operator="containsText" text="P1 (2017)">
      <formula>NOT(ISERROR(SEARCH("P1 (2017)",B238)))</formula>
    </cfRule>
  </conditionalFormatting>
  <conditionalFormatting sqref="B248 B251:B253">
    <cfRule type="expression" dxfId="526" priority="464">
      <formula>"P7 (2016)"</formula>
    </cfRule>
  </conditionalFormatting>
  <conditionalFormatting sqref="B248 B251:B253">
    <cfRule type="containsText" dxfId="525" priority="457" operator="containsText" text="P7 (2016)">
      <formula>NOT(ISERROR(SEARCH("P7 (2016)",B248)))</formula>
    </cfRule>
    <cfRule type="containsText" dxfId="524" priority="458" operator="containsText" text="NP">
      <formula>NOT(ISERROR(SEARCH("NP",B248)))</formula>
    </cfRule>
    <cfRule type="containsText" dxfId="523" priority="459" operator="containsText" text="P7 (2015/ON HILL)">
      <formula>NOT(ISERROR(SEARCH("P7 (2015/ON HILL)",B248)))</formula>
    </cfRule>
    <cfRule type="containsText" dxfId="522" priority="460" operator="containsText" text="M (2015/NURSERY)">
      <formula>NOT(ISERROR(SEARCH("M (2015/NURSERY)",B248)))</formula>
    </cfRule>
    <cfRule type="containsText" dxfId="521" priority="461" operator="containsText" text="M (2016/PLOT3)">
      <formula>NOT(ISERROR(SEARCH("M (2016/PLOT3)",B248)))</formula>
    </cfRule>
    <cfRule type="containsText" dxfId="520" priority="462" operator="containsText" text="M (2017)">
      <formula>NOT(ISERROR(SEARCH("M (2017)",B248)))</formula>
    </cfRule>
    <cfRule type="containsText" dxfId="519" priority="463" operator="containsText" text="P1 (2017)">
      <formula>NOT(ISERROR(SEARCH("P1 (2017)",B248)))</formula>
    </cfRule>
  </conditionalFormatting>
  <conditionalFormatting sqref="B260">
    <cfRule type="expression" dxfId="518" priority="456">
      <formula>"P7 (2016)"</formula>
    </cfRule>
  </conditionalFormatting>
  <conditionalFormatting sqref="B260">
    <cfRule type="containsText" dxfId="517" priority="449" operator="containsText" text="P7 (2016)">
      <formula>NOT(ISERROR(SEARCH("P7 (2016)",B260)))</formula>
    </cfRule>
    <cfRule type="containsText" dxfId="516" priority="450" operator="containsText" text="NP">
      <formula>NOT(ISERROR(SEARCH("NP",B260)))</formula>
    </cfRule>
    <cfRule type="containsText" dxfId="515" priority="451" operator="containsText" text="P7 (2015/ON HILL)">
      <formula>NOT(ISERROR(SEARCH("P7 (2015/ON HILL)",B260)))</formula>
    </cfRule>
    <cfRule type="containsText" dxfId="514" priority="452" operator="containsText" text="M (2015/NURSERY)">
      <formula>NOT(ISERROR(SEARCH("M (2015/NURSERY)",B260)))</formula>
    </cfRule>
    <cfRule type="containsText" dxfId="513" priority="453" operator="containsText" text="M (2016/PLOT3)">
      <formula>NOT(ISERROR(SEARCH("M (2016/PLOT3)",B260)))</formula>
    </cfRule>
    <cfRule type="containsText" dxfId="512" priority="454" operator="containsText" text="M (2017)">
      <formula>NOT(ISERROR(SEARCH("M (2017)",B260)))</formula>
    </cfRule>
    <cfRule type="containsText" dxfId="511" priority="455" operator="containsText" text="P1 (2017)">
      <formula>NOT(ISERROR(SEARCH("P1 (2017)",B260)))</formula>
    </cfRule>
  </conditionalFormatting>
  <conditionalFormatting sqref="B261:B262">
    <cfRule type="expression" dxfId="510" priority="448">
      <formula>"P7 (2016)"</formula>
    </cfRule>
  </conditionalFormatting>
  <conditionalFormatting sqref="B261:B262">
    <cfRule type="containsText" dxfId="509" priority="441" operator="containsText" text="P7 (2016)">
      <formula>NOT(ISERROR(SEARCH("P7 (2016)",B261)))</formula>
    </cfRule>
    <cfRule type="containsText" dxfId="508" priority="442" operator="containsText" text="NP">
      <formula>NOT(ISERROR(SEARCH("NP",B261)))</formula>
    </cfRule>
    <cfRule type="containsText" dxfId="507" priority="443" operator="containsText" text="P7 (2015/ON HILL)">
      <formula>NOT(ISERROR(SEARCH("P7 (2015/ON HILL)",B261)))</formula>
    </cfRule>
    <cfRule type="containsText" dxfId="506" priority="444" operator="containsText" text="M (2015/NURSERY)">
      <formula>NOT(ISERROR(SEARCH("M (2015/NURSERY)",B261)))</formula>
    </cfRule>
    <cfRule type="containsText" dxfId="505" priority="445" operator="containsText" text="M (2016/PLOT3)">
      <formula>NOT(ISERROR(SEARCH("M (2016/PLOT3)",B261)))</formula>
    </cfRule>
    <cfRule type="containsText" dxfId="504" priority="446" operator="containsText" text="M (2017)">
      <formula>NOT(ISERROR(SEARCH("M (2017)",B261)))</formula>
    </cfRule>
    <cfRule type="containsText" dxfId="503" priority="447" operator="containsText" text="P1 (2017)">
      <formula>NOT(ISERROR(SEARCH("P1 (2017)",B261)))</formula>
    </cfRule>
  </conditionalFormatting>
  <conditionalFormatting sqref="B264:B280">
    <cfRule type="expression" dxfId="502" priority="440">
      <formula>"P7 (2016)"</formula>
    </cfRule>
  </conditionalFormatting>
  <conditionalFormatting sqref="B264:B280">
    <cfRule type="containsText" dxfId="501" priority="433" operator="containsText" text="P7 (2016)">
      <formula>NOT(ISERROR(SEARCH("P7 (2016)",B264)))</formula>
    </cfRule>
    <cfRule type="containsText" dxfId="500" priority="434" operator="containsText" text="NP">
      <formula>NOT(ISERROR(SEARCH("NP",B264)))</formula>
    </cfRule>
    <cfRule type="containsText" dxfId="499" priority="435" operator="containsText" text="P7 (2015/ON HILL)">
      <formula>NOT(ISERROR(SEARCH("P7 (2015/ON HILL)",B264)))</formula>
    </cfRule>
    <cfRule type="containsText" dxfId="498" priority="436" operator="containsText" text="M (2015/NURSERY)">
      <formula>NOT(ISERROR(SEARCH("M (2015/NURSERY)",B264)))</formula>
    </cfRule>
    <cfRule type="containsText" dxfId="497" priority="437" operator="containsText" text="M (2016/PLOT3)">
      <formula>NOT(ISERROR(SEARCH("M (2016/PLOT3)",B264)))</formula>
    </cfRule>
    <cfRule type="containsText" dxfId="496" priority="438" operator="containsText" text="M (2017)">
      <formula>NOT(ISERROR(SEARCH("M (2017)",B264)))</formula>
    </cfRule>
    <cfRule type="containsText" dxfId="495" priority="439" operator="containsText" text="P1 (2017)">
      <formula>NOT(ISERROR(SEARCH("P1 (2017)",B264)))</formula>
    </cfRule>
  </conditionalFormatting>
  <conditionalFormatting sqref="B281">
    <cfRule type="expression" dxfId="494" priority="432">
      <formula>"P7 (2016)"</formula>
    </cfRule>
  </conditionalFormatting>
  <conditionalFormatting sqref="B281">
    <cfRule type="containsText" dxfId="493" priority="425" operator="containsText" text="P7 (2016)">
      <formula>NOT(ISERROR(SEARCH("P7 (2016)",B281)))</formula>
    </cfRule>
    <cfRule type="containsText" dxfId="492" priority="426" operator="containsText" text="NP">
      <formula>NOT(ISERROR(SEARCH("NP",B281)))</formula>
    </cfRule>
    <cfRule type="containsText" dxfId="491" priority="427" operator="containsText" text="P7 (2015/ON HILL)">
      <formula>NOT(ISERROR(SEARCH("P7 (2015/ON HILL)",B281)))</formula>
    </cfRule>
    <cfRule type="containsText" dxfId="490" priority="428" operator="containsText" text="M (2015/NURSERY)">
      <formula>NOT(ISERROR(SEARCH("M (2015/NURSERY)",B281)))</formula>
    </cfRule>
    <cfRule type="containsText" dxfId="489" priority="429" operator="containsText" text="M (2016/PLOT3)">
      <formula>NOT(ISERROR(SEARCH("M (2016/PLOT3)",B281)))</formula>
    </cfRule>
    <cfRule type="containsText" dxfId="488" priority="430" operator="containsText" text="M (2017)">
      <formula>NOT(ISERROR(SEARCH("M (2017)",B281)))</formula>
    </cfRule>
    <cfRule type="containsText" dxfId="487" priority="431" operator="containsText" text="P1 (2017)">
      <formula>NOT(ISERROR(SEARCH("P1 (2017)",B281)))</formula>
    </cfRule>
  </conditionalFormatting>
  <conditionalFormatting sqref="B279:B280">
    <cfRule type="expression" dxfId="486" priority="424">
      <formula>"P7 (2016)"</formula>
    </cfRule>
  </conditionalFormatting>
  <conditionalFormatting sqref="B279:B280">
    <cfRule type="containsText" dxfId="485" priority="417" operator="containsText" text="P7 (2016)">
      <formula>NOT(ISERROR(SEARCH("P7 (2016)",B279)))</formula>
    </cfRule>
    <cfRule type="containsText" dxfId="484" priority="418" operator="containsText" text="NP">
      <formula>NOT(ISERROR(SEARCH("NP",B279)))</formula>
    </cfRule>
    <cfRule type="containsText" dxfId="483" priority="419" operator="containsText" text="P7 (2015/ON HILL)">
      <formula>NOT(ISERROR(SEARCH("P7 (2015/ON HILL)",B279)))</formula>
    </cfRule>
    <cfRule type="containsText" dxfId="482" priority="420" operator="containsText" text="M (2015/NURSERY)">
      <formula>NOT(ISERROR(SEARCH("M (2015/NURSERY)",B279)))</formula>
    </cfRule>
    <cfRule type="containsText" dxfId="481" priority="421" operator="containsText" text="M (2016/PLOT3)">
      <formula>NOT(ISERROR(SEARCH("M (2016/PLOT3)",B279)))</formula>
    </cfRule>
    <cfRule type="containsText" dxfId="480" priority="422" operator="containsText" text="M (2017)">
      <formula>NOT(ISERROR(SEARCH("M (2017)",B279)))</formula>
    </cfRule>
    <cfRule type="containsText" dxfId="479" priority="423" operator="containsText" text="P1 (2017)">
      <formula>NOT(ISERROR(SEARCH("P1 (2017)",B279)))</formula>
    </cfRule>
  </conditionalFormatting>
  <conditionalFormatting sqref="B284">
    <cfRule type="expression" dxfId="478" priority="416">
      <formula>"P7 (2016)"</formula>
    </cfRule>
  </conditionalFormatting>
  <conditionalFormatting sqref="B284">
    <cfRule type="containsText" dxfId="477" priority="409" operator="containsText" text="P7 (2016)">
      <formula>NOT(ISERROR(SEARCH("P7 (2016)",B284)))</formula>
    </cfRule>
    <cfRule type="containsText" dxfId="476" priority="410" operator="containsText" text="NP">
      <formula>NOT(ISERROR(SEARCH("NP",B284)))</formula>
    </cfRule>
    <cfRule type="containsText" dxfId="475" priority="411" operator="containsText" text="P7 (2015/ON HILL)">
      <formula>NOT(ISERROR(SEARCH("P7 (2015/ON HILL)",B284)))</formula>
    </cfRule>
    <cfRule type="containsText" dxfId="474" priority="412" operator="containsText" text="M (2015/NURSERY)">
      <formula>NOT(ISERROR(SEARCH("M (2015/NURSERY)",B284)))</formula>
    </cfRule>
    <cfRule type="containsText" dxfId="473" priority="413" operator="containsText" text="M (2016/PLOT3)">
      <formula>NOT(ISERROR(SEARCH("M (2016/PLOT3)",B284)))</formula>
    </cfRule>
    <cfRule type="containsText" dxfId="472" priority="414" operator="containsText" text="M (2017)">
      <formula>NOT(ISERROR(SEARCH("M (2017)",B284)))</formula>
    </cfRule>
    <cfRule type="containsText" dxfId="471" priority="415" operator="containsText" text="P1 (2017)">
      <formula>NOT(ISERROR(SEARCH("P1 (2017)",B284)))</formula>
    </cfRule>
  </conditionalFormatting>
  <conditionalFormatting sqref="B285">
    <cfRule type="expression" dxfId="470" priority="408">
      <formula>"P7 (2016)"</formula>
    </cfRule>
  </conditionalFormatting>
  <conditionalFormatting sqref="B285">
    <cfRule type="containsText" dxfId="469" priority="401" operator="containsText" text="P7 (2016)">
      <formula>NOT(ISERROR(SEARCH("P7 (2016)",B285)))</formula>
    </cfRule>
    <cfRule type="containsText" dxfId="468" priority="402" operator="containsText" text="NP">
      <formula>NOT(ISERROR(SEARCH("NP",B285)))</formula>
    </cfRule>
    <cfRule type="containsText" dxfId="467" priority="403" operator="containsText" text="P7 (2015/ON HILL)">
      <formula>NOT(ISERROR(SEARCH("P7 (2015/ON HILL)",B285)))</formula>
    </cfRule>
    <cfRule type="containsText" dxfId="466" priority="404" operator="containsText" text="M (2015/NURSERY)">
      <formula>NOT(ISERROR(SEARCH("M (2015/NURSERY)",B285)))</formula>
    </cfRule>
    <cfRule type="containsText" dxfId="465" priority="405" operator="containsText" text="M (2016/PLOT3)">
      <formula>NOT(ISERROR(SEARCH("M (2016/PLOT3)",B285)))</formula>
    </cfRule>
    <cfRule type="containsText" dxfId="464" priority="406" operator="containsText" text="M (2017)">
      <formula>NOT(ISERROR(SEARCH("M (2017)",B285)))</formula>
    </cfRule>
    <cfRule type="containsText" dxfId="463" priority="407" operator="containsText" text="P1 (2017)">
      <formula>NOT(ISERROR(SEARCH("P1 (2017)",B285)))</formula>
    </cfRule>
  </conditionalFormatting>
  <conditionalFormatting sqref="B286">
    <cfRule type="expression" dxfId="462" priority="400">
      <formula>"P7 (2016)"</formula>
    </cfRule>
  </conditionalFormatting>
  <conditionalFormatting sqref="B286">
    <cfRule type="containsText" dxfId="461" priority="393" operator="containsText" text="P7 (2016)">
      <formula>NOT(ISERROR(SEARCH("P7 (2016)",B286)))</formula>
    </cfRule>
    <cfRule type="containsText" dxfId="460" priority="394" operator="containsText" text="NP">
      <formula>NOT(ISERROR(SEARCH("NP",B286)))</formula>
    </cfRule>
    <cfRule type="containsText" dxfId="459" priority="395" operator="containsText" text="P7 (2015/ON HILL)">
      <formula>NOT(ISERROR(SEARCH("P7 (2015/ON HILL)",B286)))</formula>
    </cfRule>
    <cfRule type="containsText" dxfId="458" priority="396" operator="containsText" text="M (2015/NURSERY)">
      <formula>NOT(ISERROR(SEARCH("M (2015/NURSERY)",B286)))</formula>
    </cfRule>
    <cfRule type="containsText" dxfId="457" priority="397" operator="containsText" text="M (2016/PLOT3)">
      <formula>NOT(ISERROR(SEARCH("M (2016/PLOT3)",B286)))</formula>
    </cfRule>
    <cfRule type="containsText" dxfId="456" priority="398" operator="containsText" text="M (2017)">
      <formula>NOT(ISERROR(SEARCH("M (2017)",B286)))</formula>
    </cfRule>
    <cfRule type="containsText" dxfId="455" priority="399" operator="containsText" text="P1 (2017)">
      <formula>NOT(ISERROR(SEARCH("P1 (2017)",B286)))</formula>
    </cfRule>
  </conditionalFormatting>
  <conditionalFormatting sqref="B287:B291">
    <cfRule type="expression" dxfId="454" priority="392">
      <formula>"P7 (2016)"</formula>
    </cfRule>
  </conditionalFormatting>
  <conditionalFormatting sqref="B287:B291">
    <cfRule type="containsText" dxfId="453" priority="385" operator="containsText" text="P7 (2016)">
      <formula>NOT(ISERROR(SEARCH("P7 (2016)",B287)))</formula>
    </cfRule>
    <cfRule type="containsText" dxfId="452" priority="386" operator="containsText" text="NP">
      <formula>NOT(ISERROR(SEARCH("NP",B287)))</formula>
    </cfRule>
    <cfRule type="containsText" dxfId="451" priority="387" operator="containsText" text="P7 (2015/ON HILL)">
      <formula>NOT(ISERROR(SEARCH("P7 (2015/ON HILL)",B287)))</formula>
    </cfRule>
    <cfRule type="containsText" dxfId="450" priority="388" operator="containsText" text="M (2015/NURSERY)">
      <formula>NOT(ISERROR(SEARCH("M (2015/NURSERY)",B287)))</formula>
    </cfRule>
    <cfRule type="containsText" dxfId="449" priority="389" operator="containsText" text="M (2016/PLOT3)">
      <formula>NOT(ISERROR(SEARCH("M (2016/PLOT3)",B287)))</formula>
    </cfRule>
    <cfRule type="containsText" dxfId="448" priority="390" operator="containsText" text="M (2017)">
      <formula>NOT(ISERROR(SEARCH("M (2017)",B287)))</formula>
    </cfRule>
    <cfRule type="containsText" dxfId="447" priority="391" operator="containsText" text="P1 (2017)">
      <formula>NOT(ISERROR(SEARCH("P1 (2017)",B287)))</formula>
    </cfRule>
  </conditionalFormatting>
  <conditionalFormatting sqref="B292:B295">
    <cfRule type="expression" dxfId="446" priority="384">
      <formula>"P7 (2016)"</formula>
    </cfRule>
  </conditionalFormatting>
  <conditionalFormatting sqref="B292:B295">
    <cfRule type="containsText" dxfId="445" priority="377" operator="containsText" text="P7 (2016)">
      <formula>NOT(ISERROR(SEARCH("P7 (2016)",B292)))</formula>
    </cfRule>
    <cfRule type="containsText" dxfId="444" priority="378" operator="containsText" text="NP">
      <formula>NOT(ISERROR(SEARCH("NP",B292)))</formula>
    </cfRule>
    <cfRule type="containsText" dxfId="443" priority="379" operator="containsText" text="P7 (2015/ON HILL)">
      <formula>NOT(ISERROR(SEARCH("P7 (2015/ON HILL)",B292)))</formula>
    </cfRule>
    <cfRule type="containsText" dxfId="442" priority="380" operator="containsText" text="M (2015/NURSERY)">
      <formula>NOT(ISERROR(SEARCH("M (2015/NURSERY)",B292)))</formula>
    </cfRule>
    <cfRule type="containsText" dxfId="441" priority="381" operator="containsText" text="M (2016/PLOT3)">
      <formula>NOT(ISERROR(SEARCH("M (2016/PLOT3)",B292)))</formula>
    </cfRule>
    <cfRule type="containsText" dxfId="440" priority="382" operator="containsText" text="M (2017)">
      <formula>NOT(ISERROR(SEARCH("M (2017)",B292)))</formula>
    </cfRule>
    <cfRule type="containsText" dxfId="439" priority="383" operator="containsText" text="P1 (2017)">
      <formula>NOT(ISERROR(SEARCH("P1 (2017)",B292)))</formula>
    </cfRule>
  </conditionalFormatting>
  <conditionalFormatting sqref="B296">
    <cfRule type="expression" dxfId="438" priority="376">
      <formula>"P7 (2016)"</formula>
    </cfRule>
  </conditionalFormatting>
  <conditionalFormatting sqref="B296">
    <cfRule type="containsText" dxfId="437" priority="369" operator="containsText" text="P7 (2016)">
      <formula>NOT(ISERROR(SEARCH("P7 (2016)",B296)))</formula>
    </cfRule>
    <cfRule type="containsText" dxfId="436" priority="370" operator="containsText" text="NP">
      <formula>NOT(ISERROR(SEARCH("NP",B296)))</formula>
    </cfRule>
    <cfRule type="containsText" dxfId="435" priority="371" operator="containsText" text="P7 (2015/ON HILL)">
      <formula>NOT(ISERROR(SEARCH("P7 (2015/ON HILL)",B296)))</formula>
    </cfRule>
    <cfRule type="containsText" dxfId="434" priority="372" operator="containsText" text="M (2015/NURSERY)">
      <formula>NOT(ISERROR(SEARCH("M (2015/NURSERY)",B296)))</formula>
    </cfRule>
    <cfRule type="containsText" dxfId="433" priority="373" operator="containsText" text="M (2016/PLOT3)">
      <formula>NOT(ISERROR(SEARCH("M (2016/PLOT3)",B296)))</formula>
    </cfRule>
    <cfRule type="containsText" dxfId="432" priority="374" operator="containsText" text="M (2017)">
      <formula>NOT(ISERROR(SEARCH("M (2017)",B296)))</formula>
    </cfRule>
    <cfRule type="containsText" dxfId="431" priority="375" operator="containsText" text="P1 (2017)">
      <formula>NOT(ISERROR(SEARCH("P1 (2017)",B296)))</formula>
    </cfRule>
  </conditionalFormatting>
  <conditionalFormatting sqref="B298">
    <cfRule type="expression" dxfId="430" priority="368">
      <formula>"P7 (2016)"</formula>
    </cfRule>
  </conditionalFormatting>
  <conditionalFormatting sqref="B298">
    <cfRule type="containsText" dxfId="429" priority="361" operator="containsText" text="P7 (2016)">
      <formula>NOT(ISERROR(SEARCH("P7 (2016)",B298)))</formula>
    </cfRule>
    <cfRule type="containsText" dxfId="428" priority="362" operator="containsText" text="NP">
      <formula>NOT(ISERROR(SEARCH("NP",B298)))</formula>
    </cfRule>
    <cfRule type="containsText" dxfId="427" priority="363" operator="containsText" text="P7 (2015/ON HILL)">
      <formula>NOT(ISERROR(SEARCH("P7 (2015/ON HILL)",B298)))</formula>
    </cfRule>
    <cfRule type="containsText" dxfId="426" priority="364" operator="containsText" text="M (2015/NURSERY)">
      <formula>NOT(ISERROR(SEARCH("M (2015/NURSERY)",B298)))</formula>
    </cfRule>
    <cfRule type="containsText" dxfId="425" priority="365" operator="containsText" text="M (2016/PLOT3)">
      <formula>NOT(ISERROR(SEARCH("M (2016/PLOT3)",B298)))</formula>
    </cfRule>
    <cfRule type="containsText" dxfId="424" priority="366" operator="containsText" text="M (2017)">
      <formula>NOT(ISERROR(SEARCH("M (2017)",B298)))</formula>
    </cfRule>
    <cfRule type="containsText" dxfId="423" priority="367" operator="containsText" text="P1 (2017)">
      <formula>NOT(ISERROR(SEARCH("P1 (2017)",B298)))</formula>
    </cfRule>
  </conditionalFormatting>
  <conditionalFormatting sqref="B299:B300">
    <cfRule type="expression" dxfId="422" priority="360">
      <formula>"P7 (2016)"</formula>
    </cfRule>
  </conditionalFormatting>
  <conditionalFormatting sqref="B299:B300">
    <cfRule type="containsText" dxfId="421" priority="353" operator="containsText" text="P7 (2016)">
      <formula>NOT(ISERROR(SEARCH("P7 (2016)",B299)))</formula>
    </cfRule>
    <cfRule type="containsText" dxfId="420" priority="354" operator="containsText" text="NP">
      <formula>NOT(ISERROR(SEARCH("NP",B299)))</formula>
    </cfRule>
    <cfRule type="containsText" dxfId="419" priority="355" operator="containsText" text="P7 (2015/ON HILL)">
      <formula>NOT(ISERROR(SEARCH("P7 (2015/ON HILL)",B299)))</formula>
    </cfRule>
    <cfRule type="containsText" dxfId="418" priority="356" operator="containsText" text="M (2015/NURSERY)">
      <formula>NOT(ISERROR(SEARCH("M (2015/NURSERY)",B299)))</formula>
    </cfRule>
    <cfRule type="containsText" dxfId="417" priority="357" operator="containsText" text="M (2016/PLOT3)">
      <formula>NOT(ISERROR(SEARCH("M (2016/PLOT3)",B299)))</formula>
    </cfRule>
    <cfRule type="containsText" dxfId="416" priority="358" operator="containsText" text="M (2017)">
      <formula>NOT(ISERROR(SEARCH("M (2017)",B299)))</formula>
    </cfRule>
    <cfRule type="containsText" dxfId="415" priority="359" operator="containsText" text="P1 (2017)">
      <formula>NOT(ISERROR(SEARCH("P1 (2017)",B299)))</formula>
    </cfRule>
  </conditionalFormatting>
  <conditionalFormatting sqref="B28">
    <cfRule type="expression" dxfId="414" priority="352">
      <formula>"P7 (2016)"</formula>
    </cfRule>
  </conditionalFormatting>
  <conditionalFormatting sqref="B28">
    <cfRule type="containsText" dxfId="413" priority="345" operator="containsText" text="P7 (2016)">
      <formula>NOT(ISERROR(SEARCH("P7 (2016)",B28)))</formula>
    </cfRule>
    <cfRule type="containsText" dxfId="412" priority="346" operator="containsText" text="NP">
      <formula>NOT(ISERROR(SEARCH("NP",B28)))</formula>
    </cfRule>
    <cfRule type="containsText" dxfId="411" priority="347" operator="containsText" text="P7 (2015/ON HILL)">
      <formula>NOT(ISERROR(SEARCH("P7 (2015/ON HILL)",B28)))</formula>
    </cfRule>
    <cfRule type="containsText" dxfId="410" priority="348" operator="containsText" text="M (2015/NURSERY)">
      <formula>NOT(ISERROR(SEARCH("M (2015/NURSERY)",B28)))</formula>
    </cfRule>
    <cfRule type="containsText" dxfId="409" priority="349" operator="containsText" text="M (2016/PLOT3)">
      <formula>NOT(ISERROR(SEARCH("M (2016/PLOT3)",B28)))</formula>
    </cfRule>
    <cfRule type="containsText" dxfId="408" priority="350" operator="containsText" text="M (2017)">
      <formula>NOT(ISERROR(SEARCH("M (2017)",B28)))</formula>
    </cfRule>
    <cfRule type="containsText" dxfId="407" priority="351" operator="containsText" text="P1 (2017)">
      <formula>NOT(ISERROR(SEARCH("P1 (2017)",B28)))</formula>
    </cfRule>
  </conditionalFormatting>
  <conditionalFormatting sqref="B33 B35 B37">
    <cfRule type="expression" dxfId="406" priority="344">
      <formula>"P7 (2016)"</formula>
    </cfRule>
  </conditionalFormatting>
  <conditionalFormatting sqref="B33 B35 B37">
    <cfRule type="containsText" dxfId="405" priority="337" operator="containsText" text="P7 (2016)">
      <formula>NOT(ISERROR(SEARCH("P7 (2016)",B33)))</formula>
    </cfRule>
    <cfRule type="containsText" dxfId="404" priority="338" operator="containsText" text="NP">
      <formula>NOT(ISERROR(SEARCH("NP",B33)))</formula>
    </cfRule>
    <cfRule type="containsText" dxfId="403" priority="339" operator="containsText" text="P7 (2015/ON HILL)">
      <formula>NOT(ISERROR(SEARCH("P7 (2015/ON HILL)",B33)))</formula>
    </cfRule>
    <cfRule type="containsText" dxfId="402" priority="340" operator="containsText" text="M (2015/NURSERY)">
      <formula>NOT(ISERROR(SEARCH("M (2015/NURSERY)",B33)))</formula>
    </cfRule>
    <cfRule type="containsText" dxfId="401" priority="341" operator="containsText" text="M (2016/PLOT3)">
      <formula>NOT(ISERROR(SEARCH("M (2016/PLOT3)",B33)))</formula>
    </cfRule>
    <cfRule type="containsText" dxfId="400" priority="342" operator="containsText" text="M (2017)">
      <formula>NOT(ISERROR(SEARCH("M (2017)",B33)))</formula>
    </cfRule>
    <cfRule type="containsText" dxfId="399" priority="343" operator="containsText" text="P1 (2017)">
      <formula>NOT(ISERROR(SEARCH("P1 (2017)",B33)))</formula>
    </cfRule>
  </conditionalFormatting>
  <conditionalFormatting sqref="B34 B36">
    <cfRule type="expression" dxfId="398" priority="336">
      <formula>"P7 (2016)"</formula>
    </cfRule>
  </conditionalFormatting>
  <conditionalFormatting sqref="B34 B36">
    <cfRule type="containsText" dxfId="397" priority="329" operator="containsText" text="P7 (2016)">
      <formula>NOT(ISERROR(SEARCH("P7 (2016)",B34)))</formula>
    </cfRule>
    <cfRule type="containsText" dxfId="396" priority="330" operator="containsText" text="NP">
      <formula>NOT(ISERROR(SEARCH("NP",B34)))</formula>
    </cfRule>
    <cfRule type="containsText" dxfId="395" priority="331" operator="containsText" text="P7 (2015/ON HILL)">
      <formula>NOT(ISERROR(SEARCH("P7 (2015/ON HILL)",B34)))</formula>
    </cfRule>
    <cfRule type="containsText" dxfId="394" priority="332" operator="containsText" text="M (2015/NURSERY)">
      <formula>NOT(ISERROR(SEARCH("M (2015/NURSERY)",B34)))</formula>
    </cfRule>
    <cfRule type="containsText" dxfId="393" priority="333" operator="containsText" text="M (2016/PLOT3)">
      <formula>NOT(ISERROR(SEARCH("M (2016/PLOT3)",B34)))</formula>
    </cfRule>
    <cfRule type="containsText" dxfId="392" priority="334" operator="containsText" text="M (2017)">
      <formula>NOT(ISERROR(SEARCH("M (2017)",B34)))</formula>
    </cfRule>
    <cfRule type="containsText" dxfId="391" priority="335" operator="containsText" text="P1 (2017)">
      <formula>NOT(ISERROR(SEARCH("P1 (2017)",B34)))</formula>
    </cfRule>
  </conditionalFormatting>
  <conditionalFormatting sqref="B42">
    <cfRule type="expression" dxfId="390" priority="328">
      <formula>"P7 (2016)"</formula>
    </cfRule>
  </conditionalFormatting>
  <conditionalFormatting sqref="B42">
    <cfRule type="containsText" dxfId="389" priority="321" operator="containsText" text="P7 (2016)">
      <formula>NOT(ISERROR(SEARCH("P7 (2016)",B42)))</formula>
    </cfRule>
    <cfRule type="containsText" dxfId="388" priority="322" operator="containsText" text="NP">
      <formula>NOT(ISERROR(SEARCH("NP",B42)))</formula>
    </cfRule>
    <cfRule type="containsText" dxfId="387" priority="323" operator="containsText" text="P7 (2015/ON HILL)">
      <formula>NOT(ISERROR(SEARCH("P7 (2015/ON HILL)",B42)))</formula>
    </cfRule>
    <cfRule type="containsText" dxfId="386" priority="324" operator="containsText" text="M (2015/NURSERY)">
      <formula>NOT(ISERROR(SEARCH("M (2015/NURSERY)",B42)))</formula>
    </cfRule>
    <cfRule type="containsText" dxfId="385" priority="325" operator="containsText" text="M (2016/PLOT3)">
      <formula>NOT(ISERROR(SEARCH("M (2016/PLOT3)",B42)))</formula>
    </cfRule>
    <cfRule type="containsText" dxfId="384" priority="326" operator="containsText" text="M (2017)">
      <formula>NOT(ISERROR(SEARCH("M (2017)",B42)))</formula>
    </cfRule>
    <cfRule type="containsText" dxfId="383" priority="327" operator="containsText" text="P1 (2017)">
      <formula>NOT(ISERROR(SEARCH("P1 (2017)",B42)))</formula>
    </cfRule>
  </conditionalFormatting>
  <conditionalFormatting sqref="B46">
    <cfRule type="expression" dxfId="382" priority="320">
      <formula>"P7 (2016)"</formula>
    </cfRule>
  </conditionalFormatting>
  <conditionalFormatting sqref="B46">
    <cfRule type="containsText" dxfId="381" priority="313" operator="containsText" text="P7 (2016)">
      <formula>NOT(ISERROR(SEARCH("P7 (2016)",B46)))</formula>
    </cfRule>
    <cfRule type="containsText" dxfId="380" priority="314" operator="containsText" text="NP">
      <formula>NOT(ISERROR(SEARCH("NP",B46)))</formula>
    </cfRule>
    <cfRule type="containsText" dxfId="379" priority="315" operator="containsText" text="P7 (2015/ON HILL)">
      <formula>NOT(ISERROR(SEARCH("P7 (2015/ON HILL)",B46)))</formula>
    </cfRule>
    <cfRule type="containsText" dxfId="378" priority="316" operator="containsText" text="M (2015/NURSERY)">
      <formula>NOT(ISERROR(SEARCH("M (2015/NURSERY)",B46)))</formula>
    </cfRule>
    <cfRule type="containsText" dxfId="377" priority="317" operator="containsText" text="M (2016/PLOT3)">
      <formula>NOT(ISERROR(SEARCH("M (2016/PLOT3)",B46)))</formula>
    </cfRule>
    <cfRule type="containsText" dxfId="376" priority="318" operator="containsText" text="M (2017)">
      <formula>NOT(ISERROR(SEARCH("M (2017)",B46)))</formula>
    </cfRule>
    <cfRule type="containsText" dxfId="375" priority="319" operator="containsText" text="P1 (2017)">
      <formula>NOT(ISERROR(SEARCH("P1 (2017)",B46)))</formula>
    </cfRule>
  </conditionalFormatting>
  <conditionalFormatting sqref="B44">
    <cfRule type="expression" dxfId="374" priority="312">
      <formula>"P7 (2016)"</formula>
    </cfRule>
  </conditionalFormatting>
  <conditionalFormatting sqref="B44">
    <cfRule type="containsText" dxfId="373" priority="305" operator="containsText" text="P7 (2016)">
      <formula>NOT(ISERROR(SEARCH("P7 (2016)",B44)))</formula>
    </cfRule>
    <cfRule type="containsText" dxfId="372" priority="306" operator="containsText" text="NP">
      <formula>NOT(ISERROR(SEARCH("NP",B44)))</formula>
    </cfRule>
    <cfRule type="containsText" dxfId="371" priority="307" operator="containsText" text="P7 (2015/ON HILL)">
      <formula>NOT(ISERROR(SEARCH("P7 (2015/ON HILL)",B44)))</formula>
    </cfRule>
    <cfRule type="containsText" dxfId="370" priority="308" operator="containsText" text="M (2015/NURSERY)">
      <formula>NOT(ISERROR(SEARCH("M (2015/NURSERY)",B44)))</formula>
    </cfRule>
    <cfRule type="containsText" dxfId="369" priority="309" operator="containsText" text="M (2016/PLOT3)">
      <formula>NOT(ISERROR(SEARCH("M (2016/PLOT3)",B44)))</formula>
    </cfRule>
    <cfRule type="containsText" dxfId="368" priority="310" operator="containsText" text="M (2017)">
      <formula>NOT(ISERROR(SEARCH("M (2017)",B44)))</formula>
    </cfRule>
    <cfRule type="containsText" dxfId="367" priority="311" operator="containsText" text="P1 (2017)">
      <formula>NOT(ISERROR(SEARCH("P1 (2017)",B44)))</formula>
    </cfRule>
  </conditionalFormatting>
  <conditionalFormatting sqref="B60:B61">
    <cfRule type="expression" dxfId="366" priority="304">
      <formula>"P7 (2016)"</formula>
    </cfRule>
  </conditionalFormatting>
  <conditionalFormatting sqref="B60:B61">
    <cfRule type="containsText" dxfId="365" priority="297" operator="containsText" text="P7 (2016)">
      <formula>NOT(ISERROR(SEARCH("P7 (2016)",B60)))</formula>
    </cfRule>
    <cfRule type="containsText" dxfId="364" priority="298" operator="containsText" text="NP">
      <formula>NOT(ISERROR(SEARCH("NP",B60)))</formula>
    </cfRule>
    <cfRule type="containsText" dxfId="363" priority="299" operator="containsText" text="P7 (2015/ON HILL)">
      <formula>NOT(ISERROR(SEARCH("P7 (2015/ON HILL)",B60)))</formula>
    </cfRule>
    <cfRule type="containsText" dxfId="362" priority="300" operator="containsText" text="M (2015/NURSERY)">
      <formula>NOT(ISERROR(SEARCH("M (2015/NURSERY)",B60)))</formula>
    </cfRule>
    <cfRule type="containsText" dxfId="361" priority="301" operator="containsText" text="M (2016/PLOT3)">
      <formula>NOT(ISERROR(SEARCH("M (2016/PLOT3)",B60)))</formula>
    </cfRule>
    <cfRule type="containsText" dxfId="360" priority="302" operator="containsText" text="M (2017)">
      <formula>NOT(ISERROR(SEARCH("M (2017)",B60)))</formula>
    </cfRule>
    <cfRule type="containsText" dxfId="359" priority="303" operator="containsText" text="P1 (2017)">
      <formula>NOT(ISERROR(SEARCH("P1 (2017)",B60)))</formula>
    </cfRule>
  </conditionalFormatting>
  <conditionalFormatting sqref="B63">
    <cfRule type="expression" dxfId="358" priority="296">
      <formula>"P7 (2016)"</formula>
    </cfRule>
  </conditionalFormatting>
  <conditionalFormatting sqref="B63">
    <cfRule type="containsText" dxfId="357" priority="289" operator="containsText" text="P7 (2016)">
      <formula>NOT(ISERROR(SEARCH("P7 (2016)",B63)))</formula>
    </cfRule>
    <cfRule type="containsText" dxfId="356" priority="290" operator="containsText" text="NP">
      <formula>NOT(ISERROR(SEARCH("NP",B63)))</formula>
    </cfRule>
    <cfRule type="containsText" dxfId="355" priority="291" operator="containsText" text="P7 (2015/ON HILL)">
      <formula>NOT(ISERROR(SEARCH("P7 (2015/ON HILL)",B63)))</formula>
    </cfRule>
    <cfRule type="containsText" dxfId="354" priority="292" operator="containsText" text="M (2015/NURSERY)">
      <formula>NOT(ISERROR(SEARCH("M (2015/NURSERY)",B63)))</formula>
    </cfRule>
    <cfRule type="containsText" dxfId="353" priority="293" operator="containsText" text="M (2016/PLOT3)">
      <formula>NOT(ISERROR(SEARCH("M (2016/PLOT3)",B63)))</formula>
    </cfRule>
    <cfRule type="containsText" dxfId="352" priority="294" operator="containsText" text="M (2017)">
      <formula>NOT(ISERROR(SEARCH("M (2017)",B63)))</formula>
    </cfRule>
    <cfRule type="containsText" dxfId="351" priority="295" operator="containsText" text="P1 (2017)">
      <formula>NOT(ISERROR(SEARCH("P1 (2017)",B63)))</formula>
    </cfRule>
  </conditionalFormatting>
  <conditionalFormatting sqref="B64">
    <cfRule type="expression" dxfId="350" priority="288">
      <formula>"P7 (2016)"</formula>
    </cfRule>
  </conditionalFormatting>
  <conditionalFormatting sqref="B64">
    <cfRule type="containsText" dxfId="349" priority="281" operator="containsText" text="P7 (2016)">
      <formula>NOT(ISERROR(SEARCH("P7 (2016)",B64)))</formula>
    </cfRule>
    <cfRule type="containsText" dxfId="348" priority="282" operator="containsText" text="NP">
      <formula>NOT(ISERROR(SEARCH("NP",B64)))</formula>
    </cfRule>
    <cfRule type="containsText" dxfId="347" priority="283" operator="containsText" text="P7 (2015/ON HILL)">
      <formula>NOT(ISERROR(SEARCH("P7 (2015/ON HILL)",B64)))</formula>
    </cfRule>
    <cfRule type="containsText" dxfId="346" priority="284" operator="containsText" text="M (2015/NURSERY)">
      <formula>NOT(ISERROR(SEARCH("M (2015/NURSERY)",B64)))</formula>
    </cfRule>
    <cfRule type="containsText" dxfId="345" priority="285" operator="containsText" text="M (2016/PLOT3)">
      <formula>NOT(ISERROR(SEARCH("M (2016/PLOT3)",B64)))</formula>
    </cfRule>
    <cfRule type="containsText" dxfId="344" priority="286" operator="containsText" text="M (2017)">
      <formula>NOT(ISERROR(SEARCH("M (2017)",B64)))</formula>
    </cfRule>
    <cfRule type="containsText" dxfId="343" priority="287" operator="containsText" text="P1 (2017)">
      <formula>NOT(ISERROR(SEARCH("P1 (2017)",B64)))</formula>
    </cfRule>
  </conditionalFormatting>
  <conditionalFormatting sqref="B66">
    <cfRule type="expression" dxfId="342" priority="280">
      <formula>"P7 (2016)"</formula>
    </cfRule>
  </conditionalFormatting>
  <conditionalFormatting sqref="B66">
    <cfRule type="containsText" dxfId="341" priority="273" operator="containsText" text="P7 (2016)">
      <formula>NOT(ISERROR(SEARCH("P7 (2016)",B66)))</formula>
    </cfRule>
    <cfRule type="containsText" dxfId="340" priority="274" operator="containsText" text="NP">
      <formula>NOT(ISERROR(SEARCH("NP",B66)))</formula>
    </cfRule>
    <cfRule type="containsText" dxfId="339" priority="275" operator="containsText" text="P7 (2015/ON HILL)">
      <formula>NOT(ISERROR(SEARCH("P7 (2015/ON HILL)",B66)))</formula>
    </cfRule>
    <cfRule type="containsText" dxfId="338" priority="276" operator="containsText" text="M (2015/NURSERY)">
      <formula>NOT(ISERROR(SEARCH("M (2015/NURSERY)",B66)))</formula>
    </cfRule>
    <cfRule type="containsText" dxfId="337" priority="277" operator="containsText" text="M (2016/PLOT3)">
      <formula>NOT(ISERROR(SEARCH("M (2016/PLOT3)",B66)))</formula>
    </cfRule>
    <cfRule type="containsText" dxfId="336" priority="278" operator="containsText" text="M (2017)">
      <formula>NOT(ISERROR(SEARCH("M (2017)",B66)))</formula>
    </cfRule>
    <cfRule type="containsText" dxfId="335" priority="279" operator="containsText" text="P1 (2017)">
      <formula>NOT(ISERROR(SEARCH("P1 (2017)",B66)))</formula>
    </cfRule>
  </conditionalFormatting>
  <conditionalFormatting sqref="B68">
    <cfRule type="expression" dxfId="334" priority="272">
      <formula>"P7 (2016)"</formula>
    </cfRule>
  </conditionalFormatting>
  <conditionalFormatting sqref="B68">
    <cfRule type="containsText" dxfId="333" priority="265" operator="containsText" text="P7 (2016)">
      <formula>NOT(ISERROR(SEARCH("P7 (2016)",B68)))</formula>
    </cfRule>
    <cfRule type="containsText" dxfId="332" priority="266" operator="containsText" text="NP">
      <formula>NOT(ISERROR(SEARCH("NP",B68)))</formula>
    </cfRule>
    <cfRule type="containsText" dxfId="331" priority="267" operator="containsText" text="P7 (2015/ON HILL)">
      <formula>NOT(ISERROR(SEARCH("P7 (2015/ON HILL)",B68)))</formula>
    </cfRule>
    <cfRule type="containsText" dxfId="330" priority="268" operator="containsText" text="M (2015/NURSERY)">
      <formula>NOT(ISERROR(SEARCH("M (2015/NURSERY)",B68)))</formula>
    </cfRule>
    <cfRule type="containsText" dxfId="329" priority="269" operator="containsText" text="M (2016/PLOT3)">
      <formula>NOT(ISERROR(SEARCH("M (2016/PLOT3)",B68)))</formula>
    </cfRule>
    <cfRule type="containsText" dxfId="328" priority="270" operator="containsText" text="M (2017)">
      <formula>NOT(ISERROR(SEARCH("M (2017)",B68)))</formula>
    </cfRule>
    <cfRule type="containsText" dxfId="327" priority="271" operator="containsText" text="P1 (2017)">
      <formula>NOT(ISERROR(SEARCH("P1 (2017)",B68)))</formula>
    </cfRule>
  </conditionalFormatting>
  <conditionalFormatting sqref="B69:B70">
    <cfRule type="expression" dxfId="326" priority="264">
      <formula>"P7 (2016)"</formula>
    </cfRule>
  </conditionalFormatting>
  <conditionalFormatting sqref="B69:B70">
    <cfRule type="containsText" dxfId="325" priority="257" operator="containsText" text="P7 (2016)">
      <formula>NOT(ISERROR(SEARCH("P7 (2016)",B69)))</formula>
    </cfRule>
    <cfRule type="containsText" dxfId="324" priority="258" operator="containsText" text="NP">
      <formula>NOT(ISERROR(SEARCH("NP",B69)))</formula>
    </cfRule>
    <cfRule type="containsText" dxfId="323" priority="259" operator="containsText" text="P7 (2015/ON HILL)">
      <formula>NOT(ISERROR(SEARCH("P7 (2015/ON HILL)",B69)))</formula>
    </cfRule>
    <cfRule type="containsText" dxfId="322" priority="260" operator="containsText" text="M (2015/NURSERY)">
      <formula>NOT(ISERROR(SEARCH("M (2015/NURSERY)",B69)))</formula>
    </cfRule>
    <cfRule type="containsText" dxfId="321" priority="261" operator="containsText" text="M (2016/PLOT3)">
      <formula>NOT(ISERROR(SEARCH("M (2016/PLOT3)",B69)))</formula>
    </cfRule>
    <cfRule type="containsText" dxfId="320" priority="262" operator="containsText" text="M (2017)">
      <formula>NOT(ISERROR(SEARCH("M (2017)",B69)))</formula>
    </cfRule>
    <cfRule type="containsText" dxfId="319" priority="263" operator="containsText" text="P1 (2017)">
      <formula>NOT(ISERROR(SEARCH("P1 (2017)",B69)))</formula>
    </cfRule>
  </conditionalFormatting>
  <conditionalFormatting sqref="B103">
    <cfRule type="expression" dxfId="318" priority="256">
      <formula>"P7 (2016)"</formula>
    </cfRule>
  </conditionalFormatting>
  <conditionalFormatting sqref="B103">
    <cfRule type="containsText" dxfId="317" priority="249" operator="containsText" text="P7 (2016)">
      <formula>NOT(ISERROR(SEARCH("P7 (2016)",B103)))</formula>
    </cfRule>
    <cfRule type="containsText" dxfId="316" priority="250" operator="containsText" text="NP">
      <formula>NOT(ISERROR(SEARCH("NP",B103)))</formula>
    </cfRule>
    <cfRule type="containsText" dxfId="315" priority="251" operator="containsText" text="P7 (2015/ON HILL)">
      <formula>NOT(ISERROR(SEARCH("P7 (2015/ON HILL)",B103)))</formula>
    </cfRule>
    <cfRule type="containsText" dxfId="314" priority="252" operator="containsText" text="M (2015/NURSERY)">
      <formula>NOT(ISERROR(SEARCH("M (2015/NURSERY)",B103)))</formula>
    </cfRule>
    <cfRule type="containsText" dxfId="313" priority="253" operator="containsText" text="M (2016/PLOT3)">
      <formula>NOT(ISERROR(SEARCH("M (2016/PLOT3)",B103)))</formula>
    </cfRule>
    <cfRule type="containsText" dxfId="312" priority="254" operator="containsText" text="M (2017)">
      <formula>NOT(ISERROR(SEARCH("M (2017)",B103)))</formula>
    </cfRule>
    <cfRule type="containsText" dxfId="311" priority="255" operator="containsText" text="P1 (2017)">
      <formula>NOT(ISERROR(SEARCH("P1 (2017)",B103)))</formula>
    </cfRule>
  </conditionalFormatting>
  <conditionalFormatting sqref="B125">
    <cfRule type="expression" dxfId="310" priority="248">
      <formula>"P7 (2016)"</formula>
    </cfRule>
  </conditionalFormatting>
  <conditionalFormatting sqref="B125">
    <cfRule type="containsText" dxfId="309" priority="241" operator="containsText" text="P7 (2016)">
      <formula>NOT(ISERROR(SEARCH("P7 (2016)",B125)))</formula>
    </cfRule>
    <cfRule type="containsText" dxfId="308" priority="242" operator="containsText" text="NP">
      <formula>NOT(ISERROR(SEARCH("NP",B125)))</formula>
    </cfRule>
    <cfRule type="containsText" dxfId="307" priority="243" operator="containsText" text="P7 (2015/ON HILL)">
      <formula>NOT(ISERROR(SEARCH("P7 (2015/ON HILL)",B125)))</formula>
    </cfRule>
    <cfRule type="containsText" dxfId="306" priority="244" operator="containsText" text="M (2015/NURSERY)">
      <formula>NOT(ISERROR(SEARCH("M (2015/NURSERY)",B125)))</formula>
    </cfRule>
    <cfRule type="containsText" dxfId="305" priority="245" operator="containsText" text="M (2016/PLOT3)">
      <formula>NOT(ISERROR(SEARCH("M (2016/PLOT3)",B125)))</formula>
    </cfRule>
    <cfRule type="containsText" dxfId="304" priority="246" operator="containsText" text="M (2017)">
      <formula>NOT(ISERROR(SEARCH("M (2017)",B125)))</formula>
    </cfRule>
    <cfRule type="containsText" dxfId="303" priority="247" operator="containsText" text="P1 (2017)">
      <formula>NOT(ISERROR(SEARCH("P1 (2017)",B125)))</formula>
    </cfRule>
  </conditionalFormatting>
  <conditionalFormatting sqref="B126 B128 B130 B132:B133 B135:B136">
    <cfRule type="expression" dxfId="302" priority="240">
      <formula>"P7 (2016)"</formula>
    </cfRule>
  </conditionalFormatting>
  <conditionalFormatting sqref="B126 B128 B130 B132:B133 B135:B136">
    <cfRule type="containsText" dxfId="301" priority="233" operator="containsText" text="P7 (2016)">
      <formula>NOT(ISERROR(SEARCH("P7 (2016)",B126)))</formula>
    </cfRule>
    <cfRule type="containsText" dxfId="300" priority="234" operator="containsText" text="NP">
      <formula>NOT(ISERROR(SEARCH("NP",B126)))</formula>
    </cfRule>
    <cfRule type="containsText" dxfId="299" priority="235" operator="containsText" text="P7 (2015/ON HILL)">
      <formula>NOT(ISERROR(SEARCH("P7 (2015/ON HILL)",B126)))</formula>
    </cfRule>
    <cfRule type="containsText" dxfId="298" priority="236" operator="containsText" text="M (2015/NURSERY)">
      <formula>NOT(ISERROR(SEARCH("M (2015/NURSERY)",B126)))</formula>
    </cfRule>
    <cfRule type="containsText" dxfId="297" priority="237" operator="containsText" text="M (2016/PLOT3)">
      <formula>NOT(ISERROR(SEARCH("M (2016/PLOT3)",B126)))</formula>
    </cfRule>
    <cfRule type="containsText" dxfId="296" priority="238" operator="containsText" text="M (2017)">
      <formula>NOT(ISERROR(SEARCH("M (2017)",B126)))</formula>
    </cfRule>
    <cfRule type="containsText" dxfId="295" priority="239" operator="containsText" text="P1 (2017)">
      <formula>NOT(ISERROR(SEARCH("P1 (2017)",B126)))</formula>
    </cfRule>
  </conditionalFormatting>
  <conditionalFormatting sqref="B127 B129 B131 B134">
    <cfRule type="expression" dxfId="294" priority="232">
      <formula>"P7 (2016)"</formula>
    </cfRule>
  </conditionalFormatting>
  <conditionalFormatting sqref="B127 B129 B131 B134">
    <cfRule type="containsText" dxfId="293" priority="225" operator="containsText" text="P7 (2016)">
      <formula>NOT(ISERROR(SEARCH("P7 (2016)",B127)))</formula>
    </cfRule>
    <cfRule type="containsText" dxfId="292" priority="226" operator="containsText" text="NP">
      <formula>NOT(ISERROR(SEARCH("NP",B127)))</formula>
    </cfRule>
    <cfRule type="containsText" dxfId="291" priority="227" operator="containsText" text="P7 (2015/ON HILL)">
      <formula>NOT(ISERROR(SEARCH("P7 (2015/ON HILL)",B127)))</formula>
    </cfRule>
    <cfRule type="containsText" dxfId="290" priority="228" operator="containsText" text="M (2015/NURSERY)">
      <formula>NOT(ISERROR(SEARCH("M (2015/NURSERY)",B127)))</formula>
    </cfRule>
    <cfRule type="containsText" dxfId="289" priority="229" operator="containsText" text="M (2016/PLOT3)">
      <formula>NOT(ISERROR(SEARCH("M (2016/PLOT3)",B127)))</formula>
    </cfRule>
    <cfRule type="containsText" dxfId="288" priority="230" operator="containsText" text="M (2017)">
      <formula>NOT(ISERROR(SEARCH("M (2017)",B127)))</formula>
    </cfRule>
    <cfRule type="containsText" dxfId="287" priority="231" operator="containsText" text="P1 (2017)">
      <formula>NOT(ISERROR(SEARCH("P1 (2017)",B127)))</formula>
    </cfRule>
  </conditionalFormatting>
  <conditionalFormatting sqref="B139:B142">
    <cfRule type="expression" dxfId="286" priority="224">
      <formula>"P7 (2016)"</formula>
    </cfRule>
  </conditionalFormatting>
  <conditionalFormatting sqref="B139:B142">
    <cfRule type="containsText" dxfId="285" priority="217" operator="containsText" text="P7 (2016)">
      <formula>NOT(ISERROR(SEARCH("P7 (2016)",B139)))</formula>
    </cfRule>
    <cfRule type="containsText" dxfId="284" priority="218" operator="containsText" text="NP">
      <formula>NOT(ISERROR(SEARCH("NP",B139)))</formula>
    </cfRule>
    <cfRule type="containsText" dxfId="283" priority="219" operator="containsText" text="P7 (2015/ON HILL)">
      <formula>NOT(ISERROR(SEARCH("P7 (2015/ON HILL)",B139)))</formula>
    </cfRule>
    <cfRule type="containsText" dxfId="282" priority="220" operator="containsText" text="M (2015/NURSERY)">
      <formula>NOT(ISERROR(SEARCH("M (2015/NURSERY)",B139)))</formula>
    </cfRule>
    <cfRule type="containsText" dxfId="281" priority="221" operator="containsText" text="M (2016/PLOT3)">
      <formula>NOT(ISERROR(SEARCH("M (2016/PLOT3)",B139)))</formula>
    </cfRule>
    <cfRule type="containsText" dxfId="280" priority="222" operator="containsText" text="M (2017)">
      <formula>NOT(ISERROR(SEARCH("M (2017)",B139)))</formula>
    </cfRule>
    <cfRule type="containsText" dxfId="279" priority="223" operator="containsText" text="P1 (2017)">
      <formula>NOT(ISERROR(SEARCH("P1 (2017)",B139)))</formula>
    </cfRule>
  </conditionalFormatting>
  <conditionalFormatting sqref="B149">
    <cfRule type="expression" dxfId="278" priority="216">
      <formula>"P7 (2016)"</formula>
    </cfRule>
  </conditionalFormatting>
  <conditionalFormatting sqref="B149">
    <cfRule type="containsText" dxfId="277" priority="209" operator="containsText" text="P7 (2016)">
      <formula>NOT(ISERROR(SEARCH("P7 (2016)",B149)))</formula>
    </cfRule>
    <cfRule type="containsText" dxfId="276" priority="210" operator="containsText" text="NP">
      <formula>NOT(ISERROR(SEARCH("NP",B149)))</formula>
    </cfRule>
    <cfRule type="containsText" dxfId="275" priority="211" operator="containsText" text="P7 (2015/ON HILL)">
      <formula>NOT(ISERROR(SEARCH("P7 (2015/ON HILL)",B149)))</formula>
    </cfRule>
    <cfRule type="containsText" dxfId="274" priority="212" operator="containsText" text="M (2015/NURSERY)">
      <formula>NOT(ISERROR(SEARCH("M (2015/NURSERY)",B149)))</formula>
    </cfRule>
    <cfRule type="containsText" dxfId="273" priority="213" operator="containsText" text="M (2016/PLOT3)">
      <formula>NOT(ISERROR(SEARCH("M (2016/PLOT3)",B149)))</formula>
    </cfRule>
    <cfRule type="containsText" dxfId="272" priority="214" operator="containsText" text="M (2017)">
      <formula>NOT(ISERROR(SEARCH("M (2017)",B149)))</formula>
    </cfRule>
    <cfRule type="containsText" dxfId="271" priority="215" operator="containsText" text="P1 (2017)">
      <formula>NOT(ISERROR(SEARCH("P1 (2017)",B149)))</formula>
    </cfRule>
  </conditionalFormatting>
  <conditionalFormatting sqref="B163">
    <cfRule type="expression" dxfId="270" priority="208">
      <formula>"P7 (2016)"</formula>
    </cfRule>
  </conditionalFormatting>
  <conditionalFormatting sqref="B163">
    <cfRule type="containsText" dxfId="269" priority="201" operator="containsText" text="P7 (2016)">
      <formula>NOT(ISERROR(SEARCH("P7 (2016)",B163)))</formula>
    </cfRule>
    <cfRule type="containsText" dxfId="268" priority="202" operator="containsText" text="NP">
      <formula>NOT(ISERROR(SEARCH("NP",B163)))</formula>
    </cfRule>
    <cfRule type="containsText" dxfId="267" priority="203" operator="containsText" text="P7 (2015/ON HILL)">
      <formula>NOT(ISERROR(SEARCH("P7 (2015/ON HILL)",B163)))</formula>
    </cfRule>
    <cfRule type="containsText" dxfId="266" priority="204" operator="containsText" text="M (2015/NURSERY)">
      <formula>NOT(ISERROR(SEARCH("M (2015/NURSERY)",B163)))</formula>
    </cfRule>
    <cfRule type="containsText" dxfId="265" priority="205" operator="containsText" text="M (2016/PLOT3)">
      <formula>NOT(ISERROR(SEARCH("M (2016/PLOT3)",B163)))</formula>
    </cfRule>
    <cfRule type="containsText" dxfId="264" priority="206" operator="containsText" text="M (2017)">
      <formula>NOT(ISERROR(SEARCH("M (2017)",B163)))</formula>
    </cfRule>
    <cfRule type="containsText" dxfId="263" priority="207" operator="containsText" text="P1 (2017)">
      <formula>NOT(ISERROR(SEARCH("P1 (2017)",B163)))</formula>
    </cfRule>
  </conditionalFormatting>
  <conditionalFormatting sqref="B151:B152">
    <cfRule type="expression" dxfId="262" priority="200">
      <formula>"P7 (2016)"</formula>
    </cfRule>
  </conditionalFormatting>
  <conditionalFormatting sqref="B151:B152">
    <cfRule type="containsText" dxfId="261" priority="193" operator="containsText" text="P7 (2016)">
      <formula>NOT(ISERROR(SEARCH("P7 (2016)",B151)))</formula>
    </cfRule>
    <cfRule type="containsText" dxfId="260" priority="194" operator="containsText" text="NP">
      <formula>NOT(ISERROR(SEARCH("NP",B151)))</formula>
    </cfRule>
    <cfRule type="containsText" dxfId="259" priority="195" operator="containsText" text="P7 (2015/ON HILL)">
      <formula>NOT(ISERROR(SEARCH("P7 (2015/ON HILL)",B151)))</formula>
    </cfRule>
    <cfRule type="containsText" dxfId="258" priority="196" operator="containsText" text="M (2015/NURSERY)">
      <formula>NOT(ISERROR(SEARCH("M (2015/NURSERY)",B151)))</formula>
    </cfRule>
    <cfRule type="containsText" dxfId="257" priority="197" operator="containsText" text="M (2016/PLOT3)">
      <formula>NOT(ISERROR(SEARCH("M (2016/PLOT3)",B151)))</formula>
    </cfRule>
    <cfRule type="containsText" dxfId="256" priority="198" operator="containsText" text="M (2017)">
      <formula>NOT(ISERROR(SEARCH("M (2017)",B151)))</formula>
    </cfRule>
    <cfRule type="containsText" dxfId="255" priority="199" operator="containsText" text="P1 (2017)">
      <formula>NOT(ISERROR(SEARCH("P1 (2017)",B151)))</formula>
    </cfRule>
  </conditionalFormatting>
  <conditionalFormatting sqref="B154">
    <cfRule type="expression" dxfId="254" priority="192">
      <formula>"P7 (2016)"</formula>
    </cfRule>
  </conditionalFormatting>
  <conditionalFormatting sqref="B154">
    <cfRule type="containsText" dxfId="253" priority="185" operator="containsText" text="P7 (2016)">
      <formula>NOT(ISERROR(SEARCH("P7 (2016)",B154)))</formula>
    </cfRule>
    <cfRule type="containsText" dxfId="252" priority="186" operator="containsText" text="NP">
      <formula>NOT(ISERROR(SEARCH("NP",B154)))</formula>
    </cfRule>
    <cfRule type="containsText" dxfId="251" priority="187" operator="containsText" text="P7 (2015/ON HILL)">
      <formula>NOT(ISERROR(SEARCH("P7 (2015/ON HILL)",B154)))</formula>
    </cfRule>
    <cfRule type="containsText" dxfId="250" priority="188" operator="containsText" text="M (2015/NURSERY)">
      <formula>NOT(ISERROR(SEARCH("M (2015/NURSERY)",B154)))</formula>
    </cfRule>
    <cfRule type="containsText" dxfId="249" priority="189" operator="containsText" text="M (2016/PLOT3)">
      <formula>NOT(ISERROR(SEARCH("M (2016/PLOT3)",B154)))</formula>
    </cfRule>
    <cfRule type="containsText" dxfId="248" priority="190" operator="containsText" text="M (2017)">
      <formula>NOT(ISERROR(SEARCH("M (2017)",B154)))</formula>
    </cfRule>
    <cfRule type="containsText" dxfId="247" priority="191" operator="containsText" text="P1 (2017)">
      <formula>NOT(ISERROR(SEARCH("P1 (2017)",B154)))</formula>
    </cfRule>
  </conditionalFormatting>
  <conditionalFormatting sqref="B156:B159">
    <cfRule type="expression" dxfId="246" priority="184">
      <formula>"P7 (2016)"</formula>
    </cfRule>
  </conditionalFormatting>
  <conditionalFormatting sqref="B156:B159">
    <cfRule type="containsText" dxfId="245" priority="177" operator="containsText" text="P7 (2016)">
      <formula>NOT(ISERROR(SEARCH("P7 (2016)",B156)))</formula>
    </cfRule>
    <cfRule type="containsText" dxfId="244" priority="178" operator="containsText" text="NP">
      <formula>NOT(ISERROR(SEARCH("NP",B156)))</formula>
    </cfRule>
    <cfRule type="containsText" dxfId="243" priority="179" operator="containsText" text="P7 (2015/ON HILL)">
      <formula>NOT(ISERROR(SEARCH("P7 (2015/ON HILL)",B156)))</formula>
    </cfRule>
    <cfRule type="containsText" dxfId="242" priority="180" operator="containsText" text="M (2015/NURSERY)">
      <formula>NOT(ISERROR(SEARCH("M (2015/NURSERY)",B156)))</formula>
    </cfRule>
    <cfRule type="containsText" dxfId="241" priority="181" operator="containsText" text="M (2016/PLOT3)">
      <formula>NOT(ISERROR(SEARCH("M (2016/PLOT3)",B156)))</formula>
    </cfRule>
    <cfRule type="containsText" dxfId="240" priority="182" operator="containsText" text="M (2017)">
      <formula>NOT(ISERROR(SEARCH("M (2017)",B156)))</formula>
    </cfRule>
    <cfRule type="containsText" dxfId="239" priority="183" operator="containsText" text="P1 (2017)">
      <formula>NOT(ISERROR(SEARCH("P1 (2017)",B156)))</formula>
    </cfRule>
  </conditionalFormatting>
  <conditionalFormatting sqref="B161">
    <cfRule type="expression" dxfId="238" priority="176">
      <formula>"P7 (2016)"</formula>
    </cfRule>
  </conditionalFormatting>
  <conditionalFormatting sqref="B161">
    <cfRule type="containsText" dxfId="237" priority="169" operator="containsText" text="P7 (2016)">
      <formula>NOT(ISERROR(SEARCH("P7 (2016)",B161)))</formula>
    </cfRule>
    <cfRule type="containsText" dxfId="236" priority="170" operator="containsText" text="NP">
      <formula>NOT(ISERROR(SEARCH("NP",B161)))</formula>
    </cfRule>
    <cfRule type="containsText" dxfId="235" priority="171" operator="containsText" text="P7 (2015/ON HILL)">
      <formula>NOT(ISERROR(SEARCH("P7 (2015/ON HILL)",B161)))</formula>
    </cfRule>
    <cfRule type="containsText" dxfId="234" priority="172" operator="containsText" text="M (2015/NURSERY)">
      <formula>NOT(ISERROR(SEARCH("M (2015/NURSERY)",B161)))</formula>
    </cfRule>
    <cfRule type="containsText" dxfId="233" priority="173" operator="containsText" text="M (2016/PLOT3)">
      <formula>NOT(ISERROR(SEARCH("M (2016/PLOT3)",B161)))</formula>
    </cfRule>
    <cfRule type="containsText" dxfId="232" priority="174" operator="containsText" text="M (2017)">
      <formula>NOT(ISERROR(SEARCH("M (2017)",B161)))</formula>
    </cfRule>
    <cfRule type="containsText" dxfId="231" priority="175" operator="containsText" text="P1 (2017)">
      <formula>NOT(ISERROR(SEARCH("P1 (2017)",B161)))</formula>
    </cfRule>
  </conditionalFormatting>
  <conditionalFormatting sqref="B162">
    <cfRule type="expression" dxfId="230" priority="168">
      <formula>"P7 (2016)"</formula>
    </cfRule>
  </conditionalFormatting>
  <conditionalFormatting sqref="B162">
    <cfRule type="containsText" dxfId="229" priority="161" operator="containsText" text="P7 (2016)">
      <formula>NOT(ISERROR(SEARCH("P7 (2016)",B162)))</formula>
    </cfRule>
    <cfRule type="containsText" dxfId="228" priority="162" operator="containsText" text="NP">
      <formula>NOT(ISERROR(SEARCH("NP",B162)))</formula>
    </cfRule>
    <cfRule type="containsText" dxfId="227" priority="163" operator="containsText" text="P7 (2015/ON HILL)">
      <formula>NOT(ISERROR(SEARCH("P7 (2015/ON HILL)",B162)))</formula>
    </cfRule>
    <cfRule type="containsText" dxfId="226" priority="164" operator="containsText" text="M (2015/NURSERY)">
      <formula>NOT(ISERROR(SEARCH("M (2015/NURSERY)",B162)))</formula>
    </cfRule>
    <cfRule type="containsText" dxfId="225" priority="165" operator="containsText" text="M (2016/PLOT3)">
      <formula>NOT(ISERROR(SEARCH("M (2016/PLOT3)",B162)))</formula>
    </cfRule>
    <cfRule type="containsText" dxfId="224" priority="166" operator="containsText" text="M (2017)">
      <formula>NOT(ISERROR(SEARCH("M (2017)",B162)))</formula>
    </cfRule>
    <cfRule type="containsText" dxfId="223" priority="167" operator="containsText" text="P1 (2017)">
      <formula>NOT(ISERROR(SEARCH("P1 (2017)",B162)))</formula>
    </cfRule>
  </conditionalFormatting>
  <conditionalFormatting sqref="B193">
    <cfRule type="expression" dxfId="222" priority="160">
      <formula>"P7 (2016)"</formula>
    </cfRule>
  </conditionalFormatting>
  <conditionalFormatting sqref="B193">
    <cfRule type="containsText" dxfId="221" priority="153" operator="containsText" text="P7 (2016)">
      <formula>NOT(ISERROR(SEARCH("P7 (2016)",B193)))</formula>
    </cfRule>
    <cfRule type="containsText" dxfId="220" priority="154" operator="containsText" text="NP">
      <formula>NOT(ISERROR(SEARCH("NP",B193)))</formula>
    </cfRule>
    <cfRule type="containsText" dxfId="219" priority="155" operator="containsText" text="P7 (2015/ON HILL)">
      <formula>NOT(ISERROR(SEARCH("P7 (2015/ON HILL)",B193)))</formula>
    </cfRule>
    <cfRule type="containsText" dxfId="218" priority="156" operator="containsText" text="M (2015/NURSERY)">
      <formula>NOT(ISERROR(SEARCH("M (2015/NURSERY)",B193)))</formula>
    </cfRule>
    <cfRule type="containsText" dxfId="217" priority="157" operator="containsText" text="M (2016/PLOT3)">
      <formula>NOT(ISERROR(SEARCH("M (2016/PLOT3)",B193)))</formula>
    </cfRule>
    <cfRule type="containsText" dxfId="216" priority="158" operator="containsText" text="M (2017)">
      <formula>NOT(ISERROR(SEARCH("M (2017)",B193)))</formula>
    </cfRule>
    <cfRule type="containsText" dxfId="215" priority="159" operator="containsText" text="P1 (2017)">
      <formula>NOT(ISERROR(SEARCH("P1 (2017)",B193)))</formula>
    </cfRule>
  </conditionalFormatting>
  <conditionalFormatting sqref="B224">
    <cfRule type="expression" dxfId="214" priority="152">
      <formula>"P7 (2016)"</formula>
    </cfRule>
  </conditionalFormatting>
  <conditionalFormatting sqref="B224">
    <cfRule type="containsText" dxfId="213" priority="145" operator="containsText" text="P7 (2016)">
      <formula>NOT(ISERROR(SEARCH("P7 (2016)",B224)))</formula>
    </cfRule>
    <cfRule type="containsText" dxfId="212" priority="146" operator="containsText" text="NP">
      <formula>NOT(ISERROR(SEARCH("NP",B224)))</formula>
    </cfRule>
    <cfRule type="containsText" dxfId="211" priority="147" operator="containsText" text="P7 (2015/ON HILL)">
      <formula>NOT(ISERROR(SEARCH("P7 (2015/ON HILL)",B224)))</formula>
    </cfRule>
    <cfRule type="containsText" dxfId="210" priority="148" operator="containsText" text="M (2015/NURSERY)">
      <formula>NOT(ISERROR(SEARCH("M (2015/NURSERY)",B224)))</formula>
    </cfRule>
    <cfRule type="containsText" dxfId="209" priority="149" operator="containsText" text="M (2016/PLOT3)">
      <formula>NOT(ISERROR(SEARCH("M (2016/PLOT3)",B224)))</formula>
    </cfRule>
    <cfRule type="containsText" dxfId="208" priority="150" operator="containsText" text="M (2017)">
      <formula>NOT(ISERROR(SEARCH("M (2017)",B224)))</formula>
    </cfRule>
    <cfRule type="containsText" dxfId="207" priority="151" operator="containsText" text="P1 (2017)">
      <formula>NOT(ISERROR(SEARCH("P1 (2017)",B224)))</formula>
    </cfRule>
  </conditionalFormatting>
  <conditionalFormatting sqref="B252">
    <cfRule type="expression" dxfId="206" priority="144">
      <formula>"P7 (2016)"</formula>
    </cfRule>
  </conditionalFormatting>
  <conditionalFormatting sqref="B252">
    <cfRule type="containsText" dxfId="205" priority="137" operator="containsText" text="P7 (2016)">
      <formula>NOT(ISERROR(SEARCH("P7 (2016)",B252)))</formula>
    </cfRule>
    <cfRule type="containsText" dxfId="204" priority="138" operator="containsText" text="NP">
      <formula>NOT(ISERROR(SEARCH("NP",B252)))</formula>
    </cfRule>
    <cfRule type="containsText" dxfId="203" priority="139" operator="containsText" text="P7 (2015/ON HILL)">
      <formula>NOT(ISERROR(SEARCH("P7 (2015/ON HILL)",B252)))</formula>
    </cfRule>
    <cfRule type="containsText" dxfId="202" priority="140" operator="containsText" text="M (2015/NURSERY)">
      <formula>NOT(ISERROR(SEARCH("M (2015/NURSERY)",B252)))</formula>
    </cfRule>
    <cfRule type="containsText" dxfId="201" priority="141" operator="containsText" text="M (2016/PLOT3)">
      <formula>NOT(ISERROR(SEARCH("M (2016/PLOT3)",B252)))</formula>
    </cfRule>
    <cfRule type="containsText" dxfId="200" priority="142" operator="containsText" text="M (2017)">
      <formula>NOT(ISERROR(SEARCH("M (2017)",B252)))</formula>
    </cfRule>
    <cfRule type="containsText" dxfId="199" priority="143" operator="containsText" text="P1 (2017)">
      <formula>NOT(ISERROR(SEARCH("P1 (2017)",B252)))</formula>
    </cfRule>
  </conditionalFormatting>
  <conditionalFormatting sqref="B252">
    <cfRule type="expression" dxfId="198" priority="136">
      <formula>"P7 (2016)"</formula>
    </cfRule>
  </conditionalFormatting>
  <conditionalFormatting sqref="B252">
    <cfRule type="containsText" dxfId="197" priority="129" operator="containsText" text="P7 (2016)">
      <formula>NOT(ISERROR(SEARCH("P7 (2016)",B252)))</formula>
    </cfRule>
    <cfRule type="containsText" dxfId="196" priority="130" operator="containsText" text="NP">
      <formula>NOT(ISERROR(SEARCH("NP",B252)))</formula>
    </cfRule>
    <cfRule type="containsText" dxfId="195" priority="131" operator="containsText" text="P7 (2015/ON HILL)">
      <formula>NOT(ISERROR(SEARCH("P7 (2015/ON HILL)",B252)))</formula>
    </cfRule>
    <cfRule type="containsText" dxfId="194" priority="132" operator="containsText" text="M (2015/NURSERY)">
      <formula>NOT(ISERROR(SEARCH("M (2015/NURSERY)",B252)))</formula>
    </cfRule>
    <cfRule type="containsText" dxfId="193" priority="133" operator="containsText" text="M (2016/PLOT3)">
      <formula>NOT(ISERROR(SEARCH("M (2016/PLOT3)",B252)))</formula>
    </cfRule>
    <cfRule type="containsText" dxfId="192" priority="134" operator="containsText" text="M (2017)">
      <formula>NOT(ISERROR(SEARCH("M (2017)",B252)))</formula>
    </cfRule>
    <cfRule type="containsText" dxfId="191" priority="135" operator="containsText" text="P1 (2017)">
      <formula>NOT(ISERROR(SEARCH("P1 (2017)",B252)))</formula>
    </cfRule>
  </conditionalFormatting>
  <conditionalFormatting sqref="B234">
    <cfRule type="expression" dxfId="190" priority="128">
      <formula>"P7 (2016)"</formula>
    </cfRule>
  </conditionalFormatting>
  <conditionalFormatting sqref="B234">
    <cfRule type="containsText" dxfId="189" priority="121" operator="containsText" text="P7 (2016)">
      <formula>NOT(ISERROR(SEARCH("P7 (2016)",B234)))</formula>
    </cfRule>
    <cfRule type="containsText" dxfId="188" priority="122" operator="containsText" text="NP">
      <formula>NOT(ISERROR(SEARCH("NP",B234)))</formula>
    </cfRule>
    <cfRule type="containsText" dxfId="187" priority="123" operator="containsText" text="P7 (2015/ON HILL)">
      <formula>NOT(ISERROR(SEARCH("P7 (2015/ON HILL)",B234)))</formula>
    </cfRule>
    <cfRule type="containsText" dxfId="186" priority="124" operator="containsText" text="M (2015/NURSERY)">
      <formula>NOT(ISERROR(SEARCH("M (2015/NURSERY)",B234)))</formula>
    </cfRule>
    <cfRule type="containsText" dxfId="185" priority="125" operator="containsText" text="M (2016/PLOT3)">
      <formula>NOT(ISERROR(SEARCH("M (2016/PLOT3)",B234)))</formula>
    </cfRule>
    <cfRule type="containsText" dxfId="184" priority="126" operator="containsText" text="M (2017)">
      <formula>NOT(ISERROR(SEARCH("M (2017)",B234)))</formula>
    </cfRule>
    <cfRule type="containsText" dxfId="183" priority="127" operator="containsText" text="P1 (2017)">
      <formula>NOT(ISERROR(SEARCH("P1 (2017)",B234)))</formula>
    </cfRule>
  </conditionalFormatting>
  <conditionalFormatting sqref="B234">
    <cfRule type="expression" dxfId="182" priority="120">
      <formula>"P7 (2016)"</formula>
    </cfRule>
  </conditionalFormatting>
  <conditionalFormatting sqref="B234">
    <cfRule type="containsText" dxfId="181" priority="113" operator="containsText" text="P7 (2016)">
      <formula>NOT(ISERROR(SEARCH("P7 (2016)",B234)))</formula>
    </cfRule>
    <cfRule type="containsText" dxfId="180" priority="114" operator="containsText" text="NP">
      <formula>NOT(ISERROR(SEARCH("NP",B234)))</formula>
    </cfRule>
    <cfRule type="containsText" dxfId="179" priority="115" operator="containsText" text="P7 (2015/ON HILL)">
      <formula>NOT(ISERROR(SEARCH("P7 (2015/ON HILL)",B234)))</formula>
    </cfRule>
    <cfRule type="containsText" dxfId="178" priority="116" operator="containsText" text="M (2015/NURSERY)">
      <formula>NOT(ISERROR(SEARCH("M (2015/NURSERY)",B234)))</formula>
    </cfRule>
    <cfRule type="containsText" dxfId="177" priority="117" operator="containsText" text="M (2016/PLOT3)">
      <formula>NOT(ISERROR(SEARCH("M (2016/PLOT3)",B234)))</formula>
    </cfRule>
    <cfRule type="containsText" dxfId="176" priority="118" operator="containsText" text="M (2017)">
      <formula>NOT(ISERROR(SEARCH("M (2017)",B234)))</formula>
    </cfRule>
    <cfRule type="containsText" dxfId="175" priority="119" operator="containsText" text="P1 (2017)">
      <formula>NOT(ISERROR(SEARCH("P1 (2017)",B234)))</formula>
    </cfRule>
  </conditionalFormatting>
  <conditionalFormatting sqref="B234">
    <cfRule type="expression" dxfId="174" priority="112">
      <formula>"P7 (2016)"</formula>
    </cfRule>
  </conditionalFormatting>
  <conditionalFormatting sqref="B234">
    <cfRule type="containsText" dxfId="173" priority="105" operator="containsText" text="P7 (2016)">
      <formula>NOT(ISERROR(SEARCH("P7 (2016)",B234)))</formula>
    </cfRule>
    <cfRule type="containsText" dxfId="172" priority="106" operator="containsText" text="NP">
      <formula>NOT(ISERROR(SEARCH("NP",B234)))</formula>
    </cfRule>
    <cfRule type="containsText" dxfId="171" priority="107" operator="containsText" text="P7 (2015/ON HILL)">
      <formula>NOT(ISERROR(SEARCH("P7 (2015/ON HILL)",B234)))</formula>
    </cfRule>
    <cfRule type="containsText" dxfId="170" priority="108" operator="containsText" text="M (2015/NURSERY)">
      <formula>NOT(ISERROR(SEARCH("M (2015/NURSERY)",B234)))</formula>
    </cfRule>
    <cfRule type="containsText" dxfId="169" priority="109" operator="containsText" text="M (2016/PLOT3)">
      <formula>NOT(ISERROR(SEARCH("M (2016/PLOT3)",B234)))</formula>
    </cfRule>
    <cfRule type="containsText" dxfId="168" priority="110" operator="containsText" text="M (2017)">
      <formula>NOT(ISERROR(SEARCH("M (2017)",B234)))</formula>
    </cfRule>
    <cfRule type="containsText" dxfId="167" priority="111" operator="containsText" text="P1 (2017)">
      <formula>NOT(ISERROR(SEARCH("P1 (2017)",B234)))</formula>
    </cfRule>
  </conditionalFormatting>
  <conditionalFormatting sqref="B234">
    <cfRule type="expression" dxfId="166" priority="104">
      <formula>"P7 (2016)"</formula>
    </cfRule>
  </conditionalFormatting>
  <conditionalFormatting sqref="B234">
    <cfRule type="containsText" dxfId="165" priority="97" operator="containsText" text="P7 (2016)">
      <formula>NOT(ISERROR(SEARCH("P7 (2016)",B234)))</formula>
    </cfRule>
    <cfRule type="containsText" dxfId="164" priority="98" operator="containsText" text="NP">
      <formula>NOT(ISERROR(SEARCH("NP",B234)))</formula>
    </cfRule>
    <cfRule type="containsText" dxfId="163" priority="99" operator="containsText" text="P7 (2015/ON HILL)">
      <formula>NOT(ISERROR(SEARCH("P7 (2015/ON HILL)",B234)))</formula>
    </cfRule>
    <cfRule type="containsText" dxfId="162" priority="100" operator="containsText" text="M (2015/NURSERY)">
      <formula>NOT(ISERROR(SEARCH("M (2015/NURSERY)",B234)))</formula>
    </cfRule>
    <cfRule type="containsText" dxfId="161" priority="101" operator="containsText" text="M (2016/PLOT3)">
      <formula>NOT(ISERROR(SEARCH("M (2016/PLOT3)",B234)))</formula>
    </cfRule>
    <cfRule type="containsText" dxfId="160" priority="102" operator="containsText" text="M (2017)">
      <formula>NOT(ISERROR(SEARCH("M (2017)",B234)))</formula>
    </cfRule>
    <cfRule type="containsText" dxfId="159" priority="103" operator="containsText" text="P1 (2017)">
      <formula>NOT(ISERROR(SEARCH("P1 (2017)",B234)))</formula>
    </cfRule>
  </conditionalFormatting>
  <conditionalFormatting sqref="B249:B250">
    <cfRule type="expression" dxfId="158" priority="96">
      <formula>"P7 (2016)"</formula>
    </cfRule>
  </conditionalFormatting>
  <conditionalFormatting sqref="B249:B250">
    <cfRule type="containsText" dxfId="157" priority="89" operator="containsText" text="P7 (2016)">
      <formula>NOT(ISERROR(SEARCH("P7 (2016)",B249)))</formula>
    </cfRule>
    <cfRule type="containsText" dxfId="156" priority="90" operator="containsText" text="NP">
      <formula>NOT(ISERROR(SEARCH("NP",B249)))</formula>
    </cfRule>
    <cfRule type="containsText" dxfId="155" priority="91" operator="containsText" text="P7 (2015/ON HILL)">
      <formula>NOT(ISERROR(SEARCH("P7 (2015/ON HILL)",B249)))</formula>
    </cfRule>
    <cfRule type="containsText" dxfId="154" priority="92" operator="containsText" text="M (2015/NURSERY)">
      <formula>NOT(ISERROR(SEARCH("M (2015/NURSERY)",B249)))</formula>
    </cfRule>
    <cfRule type="containsText" dxfId="153" priority="93" operator="containsText" text="M (2016/PLOT3)">
      <formula>NOT(ISERROR(SEARCH("M (2016/PLOT3)",B249)))</formula>
    </cfRule>
    <cfRule type="containsText" dxfId="152" priority="94" operator="containsText" text="M (2017)">
      <formula>NOT(ISERROR(SEARCH("M (2017)",B249)))</formula>
    </cfRule>
    <cfRule type="containsText" dxfId="151" priority="95" operator="containsText" text="P1 (2017)">
      <formula>NOT(ISERROR(SEARCH("P1 (2017)",B249)))</formula>
    </cfRule>
  </conditionalFormatting>
  <conditionalFormatting sqref="B249:B250">
    <cfRule type="expression" dxfId="150" priority="88">
      <formula>"P7 (2016)"</formula>
    </cfRule>
  </conditionalFormatting>
  <conditionalFormatting sqref="B249:B250">
    <cfRule type="containsText" dxfId="149" priority="81" operator="containsText" text="P7 (2016)">
      <formula>NOT(ISERROR(SEARCH("P7 (2016)",B249)))</formula>
    </cfRule>
    <cfRule type="containsText" dxfId="148" priority="82" operator="containsText" text="NP">
      <formula>NOT(ISERROR(SEARCH("NP",B249)))</formula>
    </cfRule>
    <cfRule type="containsText" dxfId="147" priority="83" operator="containsText" text="P7 (2015/ON HILL)">
      <formula>NOT(ISERROR(SEARCH("P7 (2015/ON HILL)",B249)))</formula>
    </cfRule>
    <cfRule type="containsText" dxfId="146" priority="84" operator="containsText" text="M (2015/NURSERY)">
      <formula>NOT(ISERROR(SEARCH("M (2015/NURSERY)",B249)))</formula>
    </cfRule>
    <cfRule type="containsText" dxfId="145" priority="85" operator="containsText" text="M (2016/PLOT3)">
      <formula>NOT(ISERROR(SEARCH("M (2016/PLOT3)",B249)))</formula>
    </cfRule>
    <cfRule type="containsText" dxfId="144" priority="86" operator="containsText" text="M (2017)">
      <formula>NOT(ISERROR(SEARCH("M (2017)",B249)))</formula>
    </cfRule>
    <cfRule type="containsText" dxfId="143" priority="87" operator="containsText" text="P1 (2017)">
      <formula>NOT(ISERROR(SEARCH("P1 (2017)",B249)))</formula>
    </cfRule>
  </conditionalFormatting>
  <conditionalFormatting sqref="B249:B250">
    <cfRule type="expression" dxfId="142" priority="80">
      <formula>"P7 (2016)"</formula>
    </cfRule>
  </conditionalFormatting>
  <conditionalFormatting sqref="B249:B250">
    <cfRule type="containsText" dxfId="141" priority="73" operator="containsText" text="P7 (2016)">
      <formula>NOT(ISERROR(SEARCH("P7 (2016)",B249)))</formula>
    </cfRule>
    <cfRule type="containsText" dxfId="140" priority="74" operator="containsText" text="NP">
      <formula>NOT(ISERROR(SEARCH("NP",B249)))</formula>
    </cfRule>
    <cfRule type="containsText" dxfId="139" priority="75" operator="containsText" text="P7 (2015/ON HILL)">
      <formula>NOT(ISERROR(SEARCH("P7 (2015/ON HILL)",B249)))</formula>
    </cfRule>
    <cfRule type="containsText" dxfId="138" priority="76" operator="containsText" text="M (2015/NURSERY)">
      <formula>NOT(ISERROR(SEARCH("M (2015/NURSERY)",B249)))</formula>
    </cfRule>
    <cfRule type="containsText" dxfId="137" priority="77" operator="containsText" text="M (2016/PLOT3)">
      <formula>NOT(ISERROR(SEARCH("M (2016/PLOT3)",B249)))</formula>
    </cfRule>
    <cfRule type="containsText" dxfId="136" priority="78" operator="containsText" text="M (2017)">
      <formula>NOT(ISERROR(SEARCH("M (2017)",B249)))</formula>
    </cfRule>
    <cfRule type="containsText" dxfId="135" priority="79" operator="containsText" text="P1 (2017)">
      <formula>NOT(ISERROR(SEARCH("P1 (2017)",B249)))</formula>
    </cfRule>
  </conditionalFormatting>
  <conditionalFormatting sqref="B249:B250">
    <cfRule type="expression" dxfId="134" priority="72">
      <formula>"P7 (2016)"</formula>
    </cfRule>
  </conditionalFormatting>
  <conditionalFormatting sqref="B249:B250">
    <cfRule type="containsText" dxfId="133" priority="65" operator="containsText" text="P7 (2016)">
      <formula>NOT(ISERROR(SEARCH("P7 (2016)",B249)))</formula>
    </cfRule>
    <cfRule type="containsText" dxfId="132" priority="66" operator="containsText" text="NP">
      <formula>NOT(ISERROR(SEARCH("NP",B249)))</formula>
    </cfRule>
    <cfRule type="containsText" dxfId="131" priority="67" operator="containsText" text="P7 (2015/ON HILL)">
      <formula>NOT(ISERROR(SEARCH("P7 (2015/ON HILL)",B249)))</formula>
    </cfRule>
    <cfRule type="containsText" dxfId="130" priority="68" operator="containsText" text="M (2015/NURSERY)">
      <formula>NOT(ISERROR(SEARCH("M (2015/NURSERY)",B249)))</formula>
    </cfRule>
    <cfRule type="containsText" dxfId="129" priority="69" operator="containsText" text="M (2016/PLOT3)">
      <formula>NOT(ISERROR(SEARCH("M (2016/PLOT3)",B249)))</formula>
    </cfRule>
    <cfRule type="containsText" dxfId="128" priority="70" operator="containsText" text="M (2017)">
      <formula>NOT(ISERROR(SEARCH("M (2017)",B249)))</formula>
    </cfRule>
    <cfRule type="containsText" dxfId="127" priority="71" operator="containsText" text="P1 (2017)">
      <formula>NOT(ISERROR(SEARCH("P1 (2017)",B249)))</formula>
    </cfRule>
  </conditionalFormatting>
  <conditionalFormatting sqref="B263">
    <cfRule type="expression" dxfId="126" priority="64">
      <formula>"P7 (2016)"</formula>
    </cfRule>
  </conditionalFormatting>
  <conditionalFormatting sqref="B263">
    <cfRule type="containsText" dxfId="125" priority="57" operator="containsText" text="P7 (2016)">
      <formula>NOT(ISERROR(SEARCH("P7 (2016)",B263)))</formula>
    </cfRule>
    <cfRule type="containsText" dxfId="124" priority="58" operator="containsText" text="NP">
      <formula>NOT(ISERROR(SEARCH("NP",B263)))</formula>
    </cfRule>
    <cfRule type="containsText" dxfId="123" priority="59" operator="containsText" text="P7 (2015/ON HILL)">
      <formula>NOT(ISERROR(SEARCH("P7 (2015/ON HILL)",B263)))</formula>
    </cfRule>
    <cfRule type="containsText" dxfId="122" priority="60" operator="containsText" text="M (2015/NURSERY)">
      <formula>NOT(ISERROR(SEARCH("M (2015/NURSERY)",B263)))</formula>
    </cfRule>
    <cfRule type="containsText" dxfId="121" priority="61" operator="containsText" text="M (2016/PLOT3)">
      <formula>NOT(ISERROR(SEARCH("M (2016/PLOT3)",B263)))</formula>
    </cfRule>
    <cfRule type="containsText" dxfId="120" priority="62" operator="containsText" text="M (2017)">
      <formula>NOT(ISERROR(SEARCH("M (2017)",B263)))</formula>
    </cfRule>
    <cfRule type="containsText" dxfId="119" priority="63" operator="containsText" text="P1 (2017)">
      <formula>NOT(ISERROR(SEARCH("P1 (2017)",B263)))</formula>
    </cfRule>
  </conditionalFormatting>
  <conditionalFormatting sqref="B263">
    <cfRule type="expression" dxfId="118" priority="56">
      <formula>"P7 (2016)"</formula>
    </cfRule>
  </conditionalFormatting>
  <conditionalFormatting sqref="B263">
    <cfRule type="containsText" dxfId="117" priority="49" operator="containsText" text="P7 (2016)">
      <formula>NOT(ISERROR(SEARCH("P7 (2016)",B263)))</formula>
    </cfRule>
    <cfRule type="containsText" dxfId="116" priority="50" operator="containsText" text="NP">
      <formula>NOT(ISERROR(SEARCH("NP",B263)))</formula>
    </cfRule>
    <cfRule type="containsText" dxfId="115" priority="51" operator="containsText" text="P7 (2015/ON HILL)">
      <formula>NOT(ISERROR(SEARCH("P7 (2015/ON HILL)",B263)))</formula>
    </cfRule>
    <cfRule type="containsText" dxfId="114" priority="52" operator="containsText" text="M (2015/NURSERY)">
      <formula>NOT(ISERROR(SEARCH("M (2015/NURSERY)",B263)))</formula>
    </cfRule>
    <cfRule type="containsText" dxfId="113" priority="53" operator="containsText" text="M (2016/PLOT3)">
      <formula>NOT(ISERROR(SEARCH("M (2016/PLOT3)",B263)))</formula>
    </cfRule>
    <cfRule type="containsText" dxfId="112" priority="54" operator="containsText" text="M (2017)">
      <formula>NOT(ISERROR(SEARCH("M (2017)",B263)))</formula>
    </cfRule>
    <cfRule type="containsText" dxfId="111" priority="55" operator="containsText" text="P1 (2017)">
      <formula>NOT(ISERROR(SEARCH("P1 (2017)",B263)))</formula>
    </cfRule>
  </conditionalFormatting>
  <conditionalFormatting sqref="B263">
    <cfRule type="expression" dxfId="110" priority="48">
      <formula>"P7 (2016)"</formula>
    </cfRule>
  </conditionalFormatting>
  <conditionalFormatting sqref="B263">
    <cfRule type="containsText" dxfId="109" priority="41" operator="containsText" text="P7 (2016)">
      <formula>NOT(ISERROR(SEARCH("P7 (2016)",B263)))</formula>
    </cfRule>
    <cfRule type="containsText" dxfId="108" priority="42" operator="containsText" text="NP">
      <formula>NOT(ISERROR(SEARCH("NP",B263)))</formula>
    </cfRule>
    <cfRule type="containsText" dxfId="107" priority="43" operator="containsText" text="P7 (2015/ON HILL)">
      <formula>NOT(ISERROR(SEARCH("P7 (2015/ON HILL)",B263)))</formula>
    </cfRule>
    <cfRule type="containsText" dxfId="106" priority="44" operator="containsText" text="M (2015/NURSERY)">
      <formula>NOT(ISERROR(SEARCH("M (2015/NURSERY)",B263)))</formula>
    </cfRule>
    <cfRule type="containsText" dxfId="105" priority="45" operator="containsText" text="M (2016/PLOT3)">
      <formula>NOT(ISERROR(SEARCH("M (2016/PLOT3)",B263)))</formula>
    </cfRule>
    <cfRule type="containsText" dxfId="104" priority="46" operator="containsText" text="M (2017)">
      <formula>NOT(ISERROR(SEARCH("M (2017)",B263)))</formula>
    </cfRule>
    <cfRule type="containsText" dxfId="103" priority="47" operator="containsText" text="P1 (2017)">
      <formula>NOT(ISERROR(SEARCH("P1 (2017)",B263)))</formula>
    </cfRule>
  </conditionalFormatting>
  <conditionalFormatting sqref="B263">
    <cfRule type="expression" dxfId="102" priority="40">
      <formula>"P7 (2016)"</formula>
    </cfRule>
  </conditionalFormatting>
  <conditionalFormatting sqref="B263">
    <cfRule type="containsText" dxfId="101" priority="33" operator="containsText" text="P7 (2016)">
      <formula>NOT(ISERROR(SEARCH("P7 (2016)",B263)))</formula>
    </cfRule>
    <cfRule type="containsText" dxfId="100" priority="34" operator="containsText" text="NP">
      <formula>NOT(ISERROR(SEARCH("NP",B263)))</formula>
    </cfRule>
    <cfRule type="containsText" dxfId="99" priority="35" operator="containsText" text="P7 (2015/ON HILL)">
      <formula>NOT(ISERROR(SEARCH("P7 (2015/ON HILL)",B263)))</formula>
    </cfRule>
    <cfRule type="containsText" dxfId="98" priority="36" operator="containsText" text="M (2015/NURSERY)">
      <formula>NOT(ISERROR(SEARCH("M (2015/NURSERY)",B263)))</formula>
    </cfRule>
    <cfRule type="containsText" dxfId="97" priority="37" operator="containsText" text="M (2016/PLOT3)">
      <formula>NOT(ISERROR(SEARCH("M (2016/PLOT3)",B263)))</formula>
    </cfRule>
    <cfRule type="containsText" dxfId="96" priority="38" operator="containsText" text="M (2017)">
      <formula>NOT(ISERROR(SEARCH("M (2017)",B263)))</formula>
    </cfRule>
    <cfRule type="containsText" dxfId="95" priority="39" operator="containsText" text="P1 (2017)">
      <formula>NOT(ISERROR(SEARCH("P1 (2017)",B263)))</formula>
    </cfRule>
  </conditionalFormatting>
  <conditionalFormatting sqref="B283">
    <cfRule type="expression" dxfId="94" priority="32">
      <formula>"P7 (2016)"</formula>
    </cfRule>
  </conditionalFormatting>
  <conditionalFormatting sqref="B283">
    <cfRule type="containsText" dxfId="93" priority="25" operator="containsText" text="P7 (2016)">
      <formula>NOT(ISERROR(SEARCH("P7 (2016)",B283)))</formula>
    </cfRule>
    <cfRule type="containsText" dxfId="92" priority="26" operator="containsText" text="NP">
      <formula>NOT(ISERROR(SEARCH("NP",B283)))</formula>
    </cfRule>
    <cfRule type="containsText" dxfId="91" priority="27" operator="containsText" text="P7 (2015/ON HILL)">
      <formula>NOT(ISERROR(SEARCH("P7 (2015/ON HILL)",B283)))</formula>
    </cfRule>
    <cfRule type="containsText" dxfId="90" priority="28" operator="containsText" text="M (2015/NURSERY)">
      <formula>NOT(ISERROR(SEARCH("M (2015/NURSERY)",B283)))</formula>
    </cfRule>
    <cfRule type="containsText" dxfId="89" priority="29" operator="containsText" text="M (2016/PLOT3)">
      <formula>NOT(ISERROR(SEARCH("M (2016/PLOT3)",B283)))</formula>
    </cfRule>
    <cfRule type="containsText" dxfId="88" priority="30" operator="containsText" text="M (2017)">
      <formula>NOT(ISERROR(SEARCH("M (2017)",B283)))</formula>
    </cfRule>
    <cfRule type="containsText" dxfId="87" priority="31" operator="containsText" text="P1 (2017)">
      <formula>NOT(ISERROR(SEARCH("P1 (2017)",B283)))</formula>
    </cfRule>
  </conditionalFormatting>
  <conditionalFormatting sqref="B283">
    <cfRule type="expression" dxfId="86" priority="24">
      <formula>"P7 (2016)"</formula>
    </cfRule>
  </conditionalFormatting>
  <conditionalFormatting sqref="B283">
    <cfRule type="containsText" dxfId="85" priority="17" operator="containsText" text="P7 (2016)">
      <formula>NOT(ISERROR(SEARCH("P7 (2016)",B283)))</formula>
    </cfRule>
    <cfRule type="containsText" dxfId="84" priority="18" operator="containsText" text="NP">
      <formula>NOT(ISERROR(SEARCH("NP",B283)))</formula>
    </cfRule>
    <cfRule type="containsText" dxfId="83" priority="19" operator="containsText" text="P7 (2015/ON HILL)">
      <formula>NOT(ISERROR(SEARCH("P7 (2015/ON HILL)",B283)))</formula>
    </cfRule>
    <cfRule type="containsText" dxfId="82" priority="20" operator="containsText" text="M (2015/NURSERY)">
      <formula>NOT(ISERROR(SEARCH("M (2015/NURSERY)",B283)))</formula>
    </cfRule>
    <cfRule type="containsText" dxfId="81" priority="21" operator="containsText" text="M (2016/PLOT3)">
      <formula>NOT(ISERROR(SEARCH("M (2016/PLOT3)",B283)))</formula>
    </cfRule>
    <cfRule type="containsText" dxfId="80" priority="22" operator="containsText" text="M (2017)">
      <formula>NOT(ISERROR(SEARCH("M (2017)",B283)))</formula>
    </cfRule>
    <cfRule type="containsText" dxfId="79" priority="23" operator="containsText" text="P1 (2017)">
      <formula>NOT(ISERROR(SEARCH("P1 (2017)",B283)))</formula>
    </cfRule>
  </conditionalFormatting>
  <conditionalFormatting sqref="B283">
    <cfRule type="expression" dxfId="78" priority="16">
      <formula>"P7 (2016)"</formula>
    </cfRule>
  </conditionalFormatting>
  <conditionalFormatting sqref="B283">
    <cfRule type="containsText" dxfId="77" priority="9" operator="containsText" text="P7 (2016)">
      <formula>NOT(ISERROR(SEARCH("P7 (2016)",B283)))</formula>
    </cfRule>
    <cfRule type="containsText" dxfId="76" priority="10" operator="containsText" text="NP">
      <formula>NOT(ISERROR(SEARCH("NP",B283)))</formula>
    </cfRule>
    <cfRule type="containsText" dxfId="75" priority="11" operator="containsText" text="P7 (2015/ON HILL)">
      <formula>NOT(ISERROR(SEARCH("P7 (2015/ON HILL)",B283)))</formula>
    </cfRule>
    <cfRule type="containsText" dxfId="74" priority="12" operator="containsText" text="M (2015/NURSERY)">
      <formula>NOT(ISERROR(SEARCH("M (2015/NURSERY)",B283)))</formula>
    </cfRule>
    <cfRule type="containsText" dxfId="73" priority="13" operator="containsText" text="M (2016/PLOT3)">
      <formula>NOT(ISERROR(SEARCH("M (2016/PLOT3)",B283)))</formula>
    </cfRule>
    <cfRule type="containsText" dxfId="72" priority="14" operator="containsText" text="M (2017)">
      <formula>NOT(ISERROR(SEARCH("M (2017)",B283)))</formula>
    </cfRule>
    <cfRule type="containsText" dxfId="71" priority="15" operator="containsText" text="P1 (2017)">
      <formula>NOT(ISERROR(SEARCH("P1 (2017)",B283)))</formula>
    </cfRule>
  </conditionalFormatting>
  <conditionalFormatting sqref="B283">
    <cfRule type="expression" dxfId="70" priority="8">
      <formula>"P7 (2016)"</formula>
    </cfRule>
  </conditionalFormatting>
  <conditionalFormatting sqref="B283">
    <cfRule type="containsText" dxfId="69" priority="1" operator="containsText" text="P7 (2016)">
      <formula>NOT(ISERROR(SEARCH("P7 (2016)",B283)))</formula>
    </cfRule>
    <cfRule type="containsText" dxfId="68" priority="2" operator="containsText" text="NP">
      <formula>NOT(ISERROR(SEARCH("NP",B283)))</formula>
    </cfRule>
    <cfRule type="containsText" dxfId="67" priority="3" operator="containsText" text="P7 (2015/ON HILL)">
      <formula>NOT(ISERROR(SEARCH("P7 (2015/ON HILL)",B283)))</formula>
    </cfRule>
    <cfRule type="containsText" dxfId="66" priority="4" operator="containsText" text="M (2015/NURSERY)">
      <formula>NOT(ISERROR(SEARCH("M (2015/NURSERY)",B283)))</formula>
    </cfRule>
    <cfRule type="containsText" dxfId="65" priority="5" operator="containsText" text="M (2016/PLOT3)">
      <formula>NOT(ISERROR(SEARCH("M (2016/PLOT3)",B283)))</formula>
    </cfRule>
    <cfRule type="containsText" dxfId="64" priority="6" operator="containsText" text="M (2017)">
      <formula>NOT(ISERROR(SEARCH("M (2017)",B283)))</formula>
    </cfRule>
    <cfRule type="containsText" dxfId="63" priority="7" operator="containsText" text="P1 (2017)">
      <formula>NOT(ISERROR(SEARCH("P1 (2017)",B283)))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34" operator="containsText" text="P7 (2016)" id="{538E50A6-1D74-4BC1-BDAC-19B56A2F4291}">
            <xm:f>NOT(ISERROR(SEARCH("P7 (2016)",'\Users\HUI HUI\OneDrive - University of Nottingham Malaysia Campus\CFF\Seed germplasm\[BG seed germplasm_2018_za (not online database) - 270618.xlsx]Seed germplasm'!#REF!)))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435" operator="containsText" text="NP" id="{6366D07D-327E-4167-ACBF-AA74FCE78367}">
            <xm:f>NOT(ISERROR(SEARCH("NP",'\Users\HUI HUI\OneDrive - University of Nottingham Malaysia Campus\CFF\Seed germplasm\[BG seed germplasm_2018_za (not online database) - 270618.xlsx]Seed germplasm'!#REF!)))</xm:f>
            <x14:dxf>
              <font>
                <color auto="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1436" operator="containsText" text="P7 (2015/ON HILL)" id="{8FD46115-D903-4E61-82FF-C1D283C10013}">
            <xm:f>NOT(ISERROR(SEARCH("P7 (2015/ON HILL)",'\Users\HUI HUI\OneDrive - University of Nottingham Malaysia Campus\CFF\Seed germplasm\[BG seed germplasm_2018_za (not online database) - 270618.xlsx]Seed germplasm'!#REF!)))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1437" operator="containsText" text="M (2015/NURSERY)" id="{9236EF09-2F6F-43D4-BC06-A74F5B451A85}">
            <xm:f>NOT(ISERROR(SEARCH("M (2015/NURSERY)",'\Users\HUI HUI\OneDrive - University of Nottingham Malaysia Campus\CFF\Seed germplasm\[BG seed germplasm_2018_za (not online database) - 270618.xlsx]Seed germplasm'!#REF!)))</xm:f>
            <x14:dxf>
              <font>
                <color rgb="FFFF3300"/>
              </font>
              <fill>
                <patternFill>
                  <bgColor rgb="FFFFC000"/>
                </patternFill>
              </fill>
            </x14:dxf>
          </x14:cfRule>
          <x14:cfRule type="containsText" priority="1438" operator="containsText" text="M (2016/PLOT3)" id="{1F6A0DDC-5196-47A2-B587-F968845712EC}">
            <xm:f>NOT(ISERROR(SEARCH("M (2016/PLOT3)",'\Users\HUI HUI\OneDrive - University of Nottingham Malaysia Campus\CFF\Seed germplasm\[BG seed germplasm_2018_za (not online database) - 270618.xlsx]Seed germplasm'!#REF!)))</xm:f>
            <x14:dxf>
              <font>
                <color theme="4" tint="-0.24994659260841701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439" operator="containsText" text="M (2017)" id="{289C3B36-CA7C-499F-8517-FD7A1E658AC5}">
            <xm:f>NOT(ISERROR(SEARCH("M (2017)",'\Users\HUI HUI\OneDrive - University of Nottingham Malaysia Campus\CFF\Seed germplasm\[BG seed germplasm_2018_za (not online database) - 270618.xlsx]Seed germplasm'!#REF!)))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40" operator="containsText" text="P1 (2017)" id="{4FE2581E-B6D2-446A-BDCA-616DDD742B4B}">
            <xm:f>NOT(ISERROR(SEARCH("P1 (2017)",'\Users\HUI HUI\OneDrive - University of Nottingham Malaysia Campus\CFF\Seed germplasm\[BG seed germplasm_2018_za (not online database) - 270618.xlsx]Seed germplasm'!#REF!)))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O124"/>
  <sheetViews>
    <sheetView topLeftCell="A2" zoomScale="110" zoomScaleNormal="110" workbookViewId="0">
      <selection activeCell="D14" sqref="D14"/>
    </sheetView>
  </sheetViews>
  <sheetFormatPr defaultColWidth="9.140625" defaultRowHeight="15.75" x14ac:dyDescent="0.25"/>
  <cols>
    <col min="1" max="1" width="6.5703125" style="102" customWidth="1"/>
    <col min="2" max="2" width="8.85546875" style="102" customWidth="1"/>
    <col min="3" max="3" width="10" style="113" customWidth="1"/>
    <col min="4" max="4" width="38.85546875" style="104" customWidth="1"/>
    <col min="5" max="5" width="10.42578125" style="102" customWidth="1"/>
    <col min="6" max="6" width="37.7109375" style="102" customWidth="1"/>
    <col min="7" max="16384" width="9.140625" style="102"/>
  </cols>
  <sheetData>
    <row r="1" spans="1:15" x14ac:dyDescent="0.25">
      <c r="G1" s="158" t="s">
        <v>695</v>
      </c>
      <c r="H1" s="159"/>
      <c r="I1" s="159"/>
      <c r="J1" s="159"/>
      <c r="K1" s="159"/>
      <c r="L1" s="159"/>
      <c r="M1" s="159"/>
      <c r="N1" s="159"/>
      <c r="O1" s="160"/>
    </row>
    <row r="2" spans="1:15" s="7" customFormat="1" ht="32.25" customHeight="1" x14ac:dyDescent="0.25">
      <c r="B2" s="100" t="s">
        <v>641</v>
      </c>
      <c r="C2" s="101" t="s">
        <v>642</v>
      </c>
      <c r="D2" s="100" t="s">
        <v>643</v>
      </c>
      <c r="E2" s="100" t="s">
        <v>644</v>
      </c>
      <c r="G2" s="7" t="s">
        <v>691</v>
      </c>
      <c r="H2" s="7" t="s">
        <v>693</v>
      </c>
      <c r="I2" s="7" t="s">
        <v>692</v>
      </c>
      <c r="J2" s="7" t="s">
        <v>685</v>
      </c>
      <c r="K2" s="7" t="s">
        <v>686</v>
      </c>
      <c r="L2" s="7" t="s">
        <v>687</v>
      </c>
      <c r="M2" s="7" t="s">
        <v>688</v>
      </c>
      <c r="N2" s="7" t="s">
        <v>689</v>
      </c>
      <c r="O2" s="100" t="s">
        <v>690</v>
      </c>
    </row>
    <row r="3" spans="1:15" ht="19.5" customHeight="1" x14ac:dyDescent="0.25">
      <c r="A3" s="102" t="s">
        <v>645</v>
      </c>
      <c r="B3" s="102" t="s">
        <v>646</v>
      </c>
      <c r="C3" s="103">
        <v>1</v>
      </c>
      <c r="D3" s="104" t="s">
        <v>647</v>
      </c>
      <c r="E3" s="102" t="s">
        <v>648</v>
      </c>
      <c r="G3" s="117" t="s">
        <v>694</v>
      </c>
      <c r="H3" s="117" t="s">
        <v>694</v>
      </c>
      <c r="I3" s="117" t="s">
        <v>694</v>
      </c>
      <c r="J3" s="117" t="s">
        <v>694</v>
      </c>
      <c r="K3" s="117" t="s">
        <v>694</v>
      </c>
      <c r="L3" s="117"/>
      <c r="M3" s="117" t="s">
        <v>694</v>
      </c>
      <c r="N3" s="117" t="s">
        <v>694</v>
      </c>
      <c r="O3" s="117" t="s">
        <v>694</v>
      </c>
    </row>
    <row r="4" spans="1:15" x14ac:dyDescent="0.25">
      <c r="B4" s="102" t="s">
        <v>646</v>
      </c>
      <c r="C4" s="103">
        <f>C3+1</f>
        <v>2</v>
      </c>
      <c r="D4" s="104" t="s">
        <v>4</v>
      </c>
      <c r="E4" s="102" t="s">
        <v>648</v>
      </c>
      <c r="G4" s="117" t="s">
        <v>694</v>
      </c>
      <c r="H4" s="117" t="s">
        <v>694</v>
      </c>
      <c r="J4" s="117" t="s">
        <v>694</v>
      </c>
      <c r="K4" s="117" t="s">
        <v>694</v>
      </c>
      <c r="L4" s="117"/>
      <c r="M4" s="117" t="s">
        <v>694</v>
      </c>
      <c r="N4" s="117" t="s">
        <v>694</v>
      </c>
      <c r="O4" s="117" t="s">
        <v>694</v>
      </c>
    </row>
    <row r="5" spans="1:15" x14ac:dyDescent="0.25">
      <c r="B5" s="102" t="s">
        <v>646</v>
      </c>
      <c r="C5" s="103">
        <f t="shared" ref="C5:C68" si="0">C4+1</f>
        <v>3</v>
      </c>
      <c r="D5" s="104" t="s">
        <v>6</v>
      </c>
      <c r="E5" s="102" t="s">
        <v>648</v>
      </c>
      <c r="G5" s="117" t="s">
        <v>694</v>
      </c>
      <c r="H5" s="117" t="s">
        <v>694</v>
      </c>
      <c r="J5" s="117" t="s">
        <v>694</v>
      </c>
      <c r="K5" s="117" t="s">
        <v>694</v>
      </c>
      <c r="M5" s="117" t="s">
        <v>694</v>
      </c>
      <c r="N5" s="117" t="s">
        <v>694</v>
      </c>
      <c r="O5" s="117" t="s">
        <v>694</v>
      </c>
    </row>
    <row r="6" spans="1:15" x14ac:dyDescent="0.25">
      <c r="B6" s="102" t="s">
        <v>646</v>
      </c>
      <c r="C6" s="103">
        <f t="shared" si="0"/>
        <v>4</v>
      </c>
      <c r="D6" s="104" t="s">
        <v>8</v>
      </c>
      <c r="E6" s="102" t="s">
        <v>648</v>
      </c>
      <c r="G6" s="117" t="s">
        <v>694</v>
      </c>
      <c r="H6" s="117" t="s">
        <v>694</v>
      </c>
      <c r="J6" s="117" t="s">
        <v>694</v>
      </c>
      <c r="K6" s="117" t="s">
        <v>694</v>
      </c>
      <c r="M6" s="117" t="s">
        <v>694</v>
      </c>
      <c r="N6" s="117" t="s">
        <v>694</v>
      </c>
      <c r="O6" s="117" t="s">
        <v>694</v>
      </c>
    </row>
    <row r="7" spans="1:15" x14ac:dyDescent="0.25">
      <c r="B7" s="102" t="s">
        <v>646</v>
      </c>
      <c r="C7" s="103">
        <f t="shared" si="0"/>
        <v>5</v>
      </c>
      <c r="D7" s="104" t="s">
        <v>10</v>
      </c>
      <c r="E7" s="102" t="s">
        <v>648</v>
      </c>
      <c r="G7" s="117" t="s">
        <v>694</v>
      </c>
      <c r="H7" s="117" t="s">
        <v>694</v>
      </c>
      <c r="J7" s="117" t="s">
        <v>694</v>
      </c>
      <c r="K7" s="117" t="s">
        <v>694</v>
      </c>
      <c r="M7" s="117" t="s">
        <v>694</v>
      </c>
      <c r="N7" s="117" t="s">
        <v>694</v>
      </c>
      <c r="O7" s="117" t="s">
        <v>694</v>
      </c>
    </row>
    <row r="8" spans="1:15" x14ac:dyDescent="0.25">
      <c r="B8" s="102" t="s">
        <v>646</v>
      </c>
      <c r="C8" s="103">
        <f t="shared" si="0"/>
        <v>6</v>
      </c>
      <c r="D8" s="104" t="s">
        <v>12</v>
      </c>
      <c r="E8" s="102" t="s">
        <v>648</v>
      </c>
      <c r="G8" s="117" t="s">
        <v>694</v>
      </c>
      <c r="H8" s="117" t="s">
        <v>694</v>
      </c>
      <c r="J8" s="117" t="s">
        <v>694</v>
      </c>
      <c r="K8" s="117" t="s">
        <v>694</v>
      </c>
      <c r="M8" s="117" t="s">
        <v>694</v>
      </c>
      <c r="N8" s="117" t="s">
        <v>694</v>
      </c>
      <c r="O8" s="117" t="s">
        <v>694</v>
      </c>
    </row>
    <row r="9" spans="1:15" x14ac:dyDescent="0.25">
      <c r="B9" s="102" t="s">
        <v>646</v>
      </c>
      <c r="C9" s="103">
        <f t="shared" si="0"/>
        <v>7</v>
      </c>
      <c r="D9" s="104" t="s">
        <v>14</v>
      </c>
      <c r="E9" s="102" t="s">
        <v>648</v>
      </c>
      <c r="G9" s="117" t="s">
        <v>694</v>
      </c>
      <c r="H9" s="117" t="s">
        <v>694</v>
      </c>
      <c r="J9" s="117" t="s">
        <v>694</v>
      </c>
      <c r="K9" s="117" t="s">
        <v>694</v>
      </c>
      <c r="M9" s="117" t="s">
        <v>694</v>
      </c>
      <c r="N9" s="117" t="s">
        <v>694</v>
      </c>
      <c r="O9" s="117" t="s">
        <v>694</v>
      </c>
    </row>
    <row r="10" spans="1:15" x14ac:dyDescent="0.25">
      <c r="B10" s="102" t="s">
        <v>646</v>
      </c>
      <c r="C10" s="103">
        <f t="shared" si="0"/>
        <v>8</v>
      </c>
      <c r="D10" s="104" t="s">
        <v>16</v>
      </c>
      <c r="E10" s="102" t="s">
        <v>648</v>
      </c>
      <c r="G10" s="117" t="s">
        <v>694</v>
      </c>
      <c r="H10" s="117" t="s">
        <v>694</v>
      </c>
      <c r="J10" s="117" t="s">
        <v>694</v>
      </c>
      <c r="K10" s="117" t="s">
        <v>694</v>
      </c>
      <c r="M10" s="117" t="s">
        <v>694</v>
      </c>
      <c r="N10" s="117" t="s">
        <v>694</v>
      </c>
      <c r="O10" s="117" t="s">
        <v>694</v>
      </c>
    </row>
    <row r="11" spans="1:15" x14ac:dyDescent="0.25">
      <c r="B11" s="102" t="s">
        <v>646</v>
      </c>
      <c r="C11" s="103">
        <f t="shared" si="0"/>
        <v>9</v>
      </c>
      <c r="D11" s="104" t="s">
        <v>18</v>
      </c>
      <c r="E11" s="102" t="s">
        <v>648</v>
      </c>
      <c r="G11" s="117" t="s">
        <v>694</v>
      </c>
      <c r="H11" s="117" t="s">
        <v>694</v>
      </c>
      <c r="J11" s="117" t="s">
        <v>694</v>
      </c>
      <c r="K11" s="117" t="s">
        <v>694</v>
      </c>
      <c r="M11" s="117" t="s">
        <v>694</v>
      </c>
      <c r="N11" s="117" t="s">
        <v>694</v>
      </c>
      <c r="O11" s="117" t="s">
        <v>694</v>
      </c>
    </row>
    <row r="12" spans="1:15" x14ac:dyDescent="0.25">
      <c r="B12" s="102" t="s">
        <v>646</v>
      </c>
      <c r="C12" s="103">
        <f t="shared" si="0"/>
        <v>10</v>
      </c>
      <c r="D12" s="104" t="s">
        <v>20</v>
      </c>
      <c r="E12" s="102" t="s">
        <v>648</v>
      </c>
      <c r="G12" s="117" t="s">
        <v>694</v>
      </c>
      <c r="H12" s="117" t="s">
        <v>694</v>
      </c>
      <c r="J12" s="117" t="s">
        <v>694</v>
      </c>
      <c r="K12" s="117" t="s">
        <v>694</v>
      </c>
      <c r="M12" s="117" t="s">
        <v>694</v>
      </c>
      <c r="N12" s="117" t="s">
        <v>694</v>
      </c>
      <c r="O12" s="117" t="s">
        <v>694</v>
      </c>
    </row>
    <row r="13" spans="1:15" x14ac:dyDescent="0.25">
      <c r="B13" s="102" t="s">
        <v>646</v>
      </c>
      <c r="C13" s="103">
        <f t="shared" si="0"/>
        <v>11</v>
      </c>
      <c r="D13" s="104" t="s">
        <v>22</v>
      </c>
      <c r="E13" s="102" t="s">
        <v>648</v>
      </c>
      <c r="G13" s="117" t="s">
        <v>694</v>
      </c>
      <c r="H13" s="117" t="s">
        <v>694</v>
      </c>
      <c r="J13" s="117" t="s">
        <v>694</v>
      </c>
      <c r="K13" s="117" t="s">
        <v>694</v>
      </c>
      <c r="M13" s="117" t="s">
        <v>694</v>
      </c>
      <c r="N13" s="117" t="s">
        <v>694</v>
      </c>
      <c r="O13" s="117" t="s">
        <v>694</v>
      </c>
    </row>
    <row r="14" spans="1:15" x14ac:dyDescent="0.25">
      <c r="B14" s="102" t="s">
        <v>646</v>
      </c>
      <c r="C14" s="103">
        <f t="shared" si="0"/>
        <v>12</v>
      </c>
      <c r="D14" s="104" t="s">
        <v>24</v>
      </c>
      <c r="E14" s="102" t="s">
        <v>648</v>
      </c>
      <c r="G14" s="117" t="s">
        <v>694</v>
      </c>
      <c r="H14" s="117" t="s">
        <v>694</v>
      </c>
      <c r="J14" s="117" t="s">
        <v>694</v>
      </c>
      <c r="K14" s="117" t="s">
        <v>694</v>
      </c>
      <c r="M14" s="117" t="s">
        <v>694</v>
      </c>
      <c r="N14" s="117" t="s">
        <v>694</v>
      </c>
      <c r="O14" s="117" t="s">
        <v>694</v>
      </c>
    </row>
    <row r="15" spans="1:15" x14ac:dyDescent="0.25">
      <c r="B15" s="102" t="s">
        <v>646</v>
      </c>
      <c r="C15" s="103">
        <f t="shared" si="0"/>
        <v>13</v>
      </c>
      <c r="D15" s="104" t="s">
        <v>26</v>
      </c>
      <c r="E15" s="102" t="s">
        <v>648</v>
      </c>
      <c r="G15" s="117" t="s">
        <v>694</v>
      </c>
      <c r="H15" s="117" t="s">
        <v>694</v>
      </c>
      <c r="I15" s="117" t="s">
        <v>694</v>
      </c>
      <c r="J15" s="117" t="s">
        <v>694</v>
      </c>
      <c r="K15" s="117" t="s">
        <v>694</v>
      </c>
      <c r="M15" s="117" t="s">
        <v>694</v>
      </c>
      <c r="N15" s="117" t="s">
        <v>694</v>
      </c>
      <c r="O15" s="117" t="s">
        <v>694</v>
      </c>
    </row>
    <row r="16" spans="1:15" x14ac:dyDescent="0.25">
      <c r="B16" s="102" t="s">
        <v>646</v>
      </c>
      <c r="C16" s="103">
        <f t="shared" si="0"/>
        <v>14</v>
      </c>
      <c r="D16" s="104" t="s">
        <v>28</v>
      </c>
      <c r="E16" s="102" t="s">
        <v>648</v>
      </c>
      <c r="G16" s="117" t="s">
        <v>694</v>
      </c>
      <c r="H16" s="117" t="s">
        <v>694</v>
      </c>
      <c r="I16" s="117" t="s">
        <v>694</v>
      </c>
      <c r="J16" s="117" t="s">
        <v>694</v>
      </c>
      <c r="K16" s="117" t="s">
        <v>694</v>
      </c>
      <c r="M16" s="117" t="s">
        <v>694</v>
      </c>
      <c r="N16" s="117" t="s">
        <v>694</v>
      </c>
      <c r="O16" s="117" t="s">
        <v>694</v>
      </c>
    </row>
    <row r="17" spans="2:15" x14ac:dyDescent="0.25">
      <c r="B17" s="102" t="s">
        <v>646</v>
      </c>
      <c r="C17" s="103">
        <f t="shared" si="0"/>
        <v>15</v>
      </c>
      <c r="D17" s="104" t="s">
        <v>30</v>
      </c>
      <c r="E17" s="102" t="s">
        <v>648</v>
      </c>
      <c r="G17" s="117" t="s">
        <v>694</v>
      </c>
      <c r="H17" s="117" t="s">
        <v>694</v>
      </c>
      <c r="J17" s="117" t="s">
        <v>694</v>
      </c>
      <c r="K17" s="117" t="s">
        <v>694</v>
      </c>
      <c r="M17" s="117" t="s">
        <v>694</v>
      </c>
      <c r="N17" s="117" t="s">
        <v>694</v>
      </c>
      <c r="O17" s="117" t="s">
        <v>694</v>
      </c>
    </row>
    <row r="18" spans="2:15" x14ac:dyDescent="0.25">
      <c r="B18" s="102" t="s">
        <v>646</v>
      </c>
      <c r="C18" s="103">
        <f t="shared" si="0"/>
        <v>16</v>
      </c>
      <c r="D18" s="104" t="s">
        <v>649</v>
      </c>
      <c r="E18" s="102" t="s">
        <v>648</v>
      </c>
      <c r="G18" s="117" t="s">
        <v>694</v>
      </c>
      <c r="H18" s="117" t="s">
        <v>694</v>
      </c>
      <c r="J18" s="117" t="s">
        <v>694</v>
      </c>
      <c r="K18" s="117" t="s">
        <v>694</v>
      </c>
      <c r="M18" s="117" t="s">
        <v>694</v>
      </c>
      <c r="N18" s="117" t="s">
        <v>694</v>
      </c>
      <c r="O18" s="117" t="s">
        <v>694</v>
      </c>
    </row>
    <row r="19" spans="2:15" x14ac:dyDescent="0.25">
      <c r="B19" s="102" t="s">
        <v>646</v>
      </c>
      <c r="C19" s="103">
        <f t="shared" si="0"/>
        <v>17</v>
      </c>
      <c r="D19" s="104" t="s">
        <v>34</v>
      </c>
      <c r="E19" s="102" t="s">
        <v>648</v>
      </c>
      <c r="G19" s="117" t="s">
        <v>694</v>
      </c>
      <c r="H19" s="117" t="s">
        <v>694</v>
      </c>
      <c r="J19" s="117" t="s">
        <v>694</v>
      </c>
      <c r="K19" s="117" t="s">
        <v>694</v>
      </c>
      <c r="M19" s="117" t="s">
        <v>694</v>
      </c>
      <c r="N19" s="117" t="s">
        <v>694</v>
      </c>
      <c r="O19" s="117" t="s">
        <v>694</v>
      </c>
    </row>
    <row r="20" spans="2:15" x14ac:dyDescent="0.25">
      <c r="B20" s="102" t="s">
        <v>646</v>
      </c>
      <c r="C20" s="103">
        <f t="shared" si="0"/>
        <v>18</v>
      </c>
      <c r="D20" s="104" t="s">
        <v>36</v>
      </c>
      <c r="E20" s="102" t="s">
        <v>648</v>
      </c>
      <c r="G20" s="117" t="s">
        <v>694</v>
      </c>
      <c r="H20" s="117" t="s">
        <v>694</v>
      </c>
      <c r="J20" s="117" t="s">
        <v>694</v>
      </c>
      <c r="K20" s="117" t="s">
        <v>694</v>
      </c>
      <c r="M20" s="117" t="s">
        <v>694</v>
      </c>
      <c r="N20" s="117" t="s">
        <v>694</v>
      </c>
      <c r="O20" s="117" t="s">
        <v>694</v>
      </c>
    </row>
    <row r="21" spans="2:15" x14ac:dyDescent="0.25">
      <c r="B21" s="102" t="s">
        <v>646</v>
      </c>
      <c r="C21" s="103">
        <f t="shared" si="0"/>
        <v>19</v>
      </c>
      <c r="D21" s="104" t="s">
        <v>38</v>
      </c>
      <c r="E21" s="102" t="s">
        <v>648</v>
      </c>
      <c r="G21" s="117" t="s">
        <v>694</v>
      </c>
      <c r="H21" s="117" t="s">
        <v>694</v>
      </c>
      <c r="J21" s="117" t="s">
        <v>694</v>
      </c>
      <c r="K21" s="117" t="s">
        <v>694</v>
      </c>
      <c r="M21" s="117" t="s">
        <v>694</v>
      </c>
      <c r="N21" s="117" t="s">
        <v>694</v>
      </c>
      <c r="O21" s="117" t="s">
        <v>694</v>
      </c>
    </row>
    <row r="22" spans="2:15" x14ac:dyDescent="0.25">
      <c r="B22" s="102" t="s">
        <v>646</v>
      </c>
      <c r="C22" s="103">
        <f t="shared" si="0"/>
        <v>20</v>
      </c>
      <c r="D22" s="104" t="s">
        <v>39</v>
      </c>
      <c r="E22" s="102" t="s">
        <v>648</v>
      </c>
      <c r="G22" s="117" t="s">
        <v>694</v>
      </c>
      <c r="H22" s="117" t="s">
        <v>694</v>
      </c>
      <c r="J22" s="117" t="s">
        <v>694</v>
      </c>
      <c r="K22" s="117" t="s">
        <v>694</v>
      </c>
      <c r="M22" s="117" t="s">
        <v>694</v>
      </c>
      <c r="N22" s="117" t="s">
        <v>694</v>
      </c>
      <c r="O22" s="117" t="s">
        <v>694</v>
      </c>
    </row>
    <row r="23" spans="2:15" s="7" customFormat="1" ht="18" customHeight="1" x14ac:dyDescent="0.25">
      <c r="B23" s="102" t="s">
        <v>646</v>
      </c>
      <c r="C23" s="105">
        <f t="shared" si="0"/>
        <v>21</v>
      </c>
      <c r="D23" s="100" t="s">
        <v>40</v>
      </c>
      <c r="E23" s="102" t="s">
        <v>648</v>
      </c>
      <c r="G23" s="117" t="s">
        <v>694</v>
      </c>
      <c r="H23" s="117" t="s">
        <v>694</v>
      </c>
      <c r="I23" s="117" t="s">
        <v>694</v>
      </c>
      <c r="J23" s="117" t="s">
        <v>694</v>
      </c>
      <c r="K23" s="117" t="s">
        <v>694</v>
      </c>
      <c r="M23" s="117" t="s">
        <v>694</v>
      </c>
      <c r="N23" s="117" t="s">
        <v>694</v>
      </c>
      <c r="O23" s="117" t="s">
        <v>694</v>
      </c>
    </row>
    <row r="24" spans="2:15" x14ac:dyDescent="0.25">
      <c r="B24" s="102" t="s">
        <v>646</v>
      </c>
      <c r="C24" s="103">
        <f t="shared" si="0"/>
        <v>22</v>
      </c>
      <c r="D24" s="104" t="s">
        <v>599</v>
      </c>
      <c r="E24" s="102" t="s">
        <v>648</v>
      </c>
      <c r="F24" s="110" t="s">
        <v>683</v>
      </c>
      <c r="G24" s="117" t="s">
        <v>694</v>
      </c>
      <c r="H24" s="117" t="s">
        <v>694</v>
      </c>
      <c r="J24" s="117" t="s">
        <v>694</v>
      </c>
      <c r="K24" s="117" t="s">
        <v>694</v>
      </c>
      <c r="L24" s="117" t="s">
        <v>694</v>
      </c>
      <c r="M24" s="117" t="s">
        <v>694</v>
      </c>
      <c r="N24" s="117" t="s">
        <v>694</v>
      </c>
      <c r="O24" s="117" t="s">
        <v>694</v>
      </c>
    </row>
    <row r="25" spans="2:15" x14ac:dyDescent="0.25">
      <c r="B25" s="102" t="s">
        <v>646</v>
      </c>
      <c r="C25" s="103">
        <f t="shared" si="0"/>
        <v>23</v>
      </c>
      <c r="D25" s="104" t="s">
        <v>44</v>
      </c>
      <c r="E25" s="102" t="s">
        <v>648</v>
      </c>
      <c r="G25" s="117" t="s">
        <v>694</v>
      </c>
      <c r="H25" s="117" t="s">
        <v>694</v>
      </c>
      <c r="J25" s="117" t="s">
        <v>694</v>
      </c>
      <c r="K25" s="117" t="s">
        <v>694</v>
      </c>
      <c r="M25" s="117" t="s">
        <v>694</v>
      </c>
      <c r="N25" s="117" t="s">
        <v>694</v>
      </c>
      <c r="O25" s="117" t="s">
        <v>694</v>
      </c>
    </row>
    <row r="26" spans="2:15" x14ac:dyDescent="0.25">
      <c r="B26" s="102" t="s">
        <v>646</v>
      </c>
      <c r="C26" s="103">
        <f t="shared" si="0"/>
        <v>24</v>
      </c>
      <c r="D26" s="104" t="s">
        <v>45</v>
      </c>
      <c r="E26" s="102" t="s">
        <v>648</v>
      </c>
      <c r="G26" s="117" t="s">
        <v>694</v>
      </c>
      <c r="H26" s="117" t="s">
        <v>694</v>
      </c>
      <c r="J26" s="117" t="s">
        <v>694</v>
      </c>
      <c r="K26" s="117" t="s">
        <v>694</v>
      </c>
      <c r="M26" s="117" t="s">
        <v>694</v>
      </c>
      <c r="N26" s="117" t="s">
        <v>694</v>
      </c>
      <c r="O26" s="117" t="s">
        <v>694</v>
      </c>
    </row>
    <row r="27" spans="2:15" x14ac:dyDescent="0.25">
      <c r="B27" s="102" t="s">
        <v>646</v>
      </c>
      <c r="C27" s="103">
        <f t="shared" si="0"/>
        <v>25</v>
      </c>
      <c r="D27" s="104" t="s">
        <v>46</v>
      </c>
      <c r="E27" s="102" t="s">
        <v>648</v>
      </c>
      <c r="G27" s="117" t="s">
        <v>694</v>
      </c>
      <c r="H27" s="117" t="s">
        <v>694</v>
      </c>
      <c r="I27" s="117" t="s">
        <v>694</v>
      </c>
      <c r="J27" s="117" t="s">
        <v>694</v>
      </c>
      <c r="K27" s="117" t="s">
        <v>694</v>
      </c>
      <c r="M27" s="117" t="s">
        <v>694</v>
      </c>
      <c r="N27" s="117" t="s">
        <v>694</v>
      </c>
      <c r="O27" s="117" t="s">
        <v>694</v>
      </c>
    </row>
    <row r="28" spans="2:15" x14ac:dyDescent="0.25">
      <c r="B28" s="102" t="s">
        <v>646</v>
      </c>
      <c r="C28" s="103">
        <f t="shared" si="0"/>
        <v>26</v>
      </c>
      <c r="D28" s="104" t="s">
        <v>47</v>
      </c>
      <c r="E28" s="102" t="s">
        <v>648</v>
      </c>
      <c r="G28" s="117" t="s">
        <v>694</v>
      </c>
      <c r="H28" s="117" t="s">
        <v>694</v>
      </c>
      <c r="J28" s="117" t="s">
        <v>694</v>
      </c>
      <c r="K28" s="117" t="s">
        <v>694</v>
      </c>
      <c r="M28" s="117" t="s">
        <v>694</v>
      </c>
      <c r="N28" s="117" t="s">
        <v>694</v>
      </c>
      <c r="O28" s="117" t="s">
        <v>694</v>
      </c>
    </row>
    <row r="29" spans="2:15" x14ac:dyDescent="0.25">
      <c r="B29" s="102" t="s">
        <v>646</v>
      </c>
      <c r="C29" s="103">
        <f t="shared" si="0"/>
        <v>27</v>
      </c>
      <c r="D29" s="104" t="s">
        <v>48</v>
      </c>
      <c r="E29" s="102" t="s">
        <v>648</v>
      </c>
      <c r="G29" s="117" t="s">
        <v>694</v>
      </c>
      <c r="H29" s="117" t="s">
        <v>694</v>
      </c>
      <c r="I29" s="117" t="s">
        <v>694</v>
      </c>
      <c r="J29" s="117" t="s">
        <v>694</v>
      </c>
      <c r="K29" s="117" t="s">
        <v>694</v>
      </c>
      <c r="M29" s="117" t="s">
        <v>694</v>
      </c>
      <c r="N29" s="117" t="s">
        <v>694</v>
      </c>
      <c r="O29" s="117" t="s">
        <v>694</v>
      </c>
    </row>
    <row r="30" spans="2:15" x14ac:dyDescent="0.25">
      <c r="B30" s="102" t="s">
        <v>646</v>
      </c>
      <c r="C30" s="103">
        <f t="shared" si="0"/>
        <v>28</v>
      </c>
      <c r="D30" s="106" t="s">
        <v>49</v>
      </c>
      <c r="E30" s="102" t="s">
        <v>648</v>
      </c>
      <c r="G30" s="117" t="s">
        <v>694</v>
      </c>
      <c r="H30" s="117" t="s">
        <v>694</v>
      </c>
      <c r="J30" s="117" t="s">
        <v>694</v>
      </c>
      <c r="K30" s="117" t="s">
        <v>694</v>
      </c>
      <c r="M30" s="117" t="s">
        <v>694</v>
      </c>
      <c r="N30" s="117" t="s">
        <v>694</v>
      </c>
      <c r="O30" s="117" t="s">
        <v>694</v>
      </c>
    </row>
    <row r="31" spans="2:15" x14ac:dyDescent="0.25">
      <c r="B31" s="102" t="s">
        <v>646</v>
      </c>
      <c r="C31" s="103">
        <f t="shared" si="0"/>
        <v>29</v>
      </c>
      <c r="D31" s="106" t="s">
        <v>51</v>
      </c>
      <c r="E31" s="102" t="s">
        <v>648</v>
      </c>
      <c r="G31" s="117" t="s">
        <v>694</v>
      </c>
      <c r="H31" s="117" t="s">
        <v>694</v>
      </c>
      <c r="I31" s="117" t="s">
        <v>694</v>
      </c>
      <c r="J31" s="117" t="s">
        <v>694</v>
      </c>
      <c r="K31" s="117" t="s">
        <v>694</v>
      </c>
      <c r="M31" s="117" t="s">
        <v>694</v>
      </c>
      <c r="N31" s="117" t="s">
        <v>694</v>
      </c>
      <c r="O31" s="117" t="s">
        <v>694</v>
      </c>
    </row>
    <row r="32" spans="2:15" x14ac:dyDescent="0.25">
      <c r="B32" s="102" t="s">
        <v>646</v>
      </c>
      <c r="C32" s="103">
        <f t="shared" si="0"/>
        <v>30</v>
      </c>
      <c r="D32" s="106" t="s">
        <v>53</v>
      </c>
      <c r="E32" s="102" t="s">
        <v>648</v>
      </c>
      <c r="G32" s="117" t="s">
        <v>694</v>
      </c>
      <c r="H32" s="117" t="s">
        <v>694</v>
      </c>
      <c r="J32" s="117" t="s">
        <v>694</v>
      </c>
      <c r="K32" s="117" t="s">
        <v>694</v>
      </c>
      <c r="M32" s="117" t="s">
        <v>694</v>
      </c>
      <c r="N32" s="117" t="s">
        <v>694</v>
      </c>
      <c r="O32" s="117" t="s">
        <v>694</v>
      </c>
    </row>
    <row r="33" spans="2:15" x14ac:dyDescent="0.25">
      <c r="B33" s="102" t="s">
        <v>646</v>
      </c>
      <c r="C33" s="103">
        <f t="shared" si="0"/>
        <v>31</v>
      </c>
      <c r="D33" s="106" t="s">
        <v>55</v>
      </c>
      <c r="E33" s="102" t="s">
        <v>648</v>
      </c>
      <c r="G33" s="117" t="s">
        <v>694</v>
      </c>
      <c r="H33" s="117" t="s">
        <v>694</v>
      </c>
      <c r="J33" s="117" t="s">
        <v>694</v>
      </c>
      <c r="K33" s="117" t="s">
        <v>694</v>
      </c>
      <c r="M33" s="117" t="s">
        <v>694</v>
      </c>
      <c r="N33" s="117" t="s">
        <v>694</v>
      </c>
      <c r="O33" s="117" t="s">
        <v>694</v>
      </c>
    </row>
    <row r="34" spans="2:15" x14ac:dyDescent="0.25">
      <c r="B34" s="102" t="s">
        <v>646</v>
      </c>
      <c r="C34" s="103">
        <f t="shared" si="0"/>
        <v>32</v>
      </c>
      <c r="D34" s="106" t="s">
        <v>57</v>
      </c>
      <c r="E34" s="102" t="s">
        <v>648</v>
      </c>
      <c r="G34" s="117" t="s">
        <v>694</v>
      </c>
      <c r="H34" s="117" t="s">
        <v>694</v>
      </c>
      <c r="I34" s="117" t="s">
        <v>694</v>
      </c>
      <c r="J34" s="117" t="s">
        <v>694</v>
      </c>
      <c r="K34" s="117" t="s">
        <v>694</v>
      </c>
      <c r="M34" s="117" t="s">
        <v>694</v>
      </c>
      <c r="N34" s="117" t="s">
        <v>694</v>
      </c>
      <c r="O34" s="117" t="s">
        <v>694</v>
      </c>
    </row>
    <row r="35" spans="2:15" s="107" customFormat="1" x14ac:dyDescent="0.25">
      <c r="B35" s="107" t="s">
        <v>646</v>
      </c>
      <c r="C35" s="108">
        <f t="shared" si="0"/>
        <v>33</v>
      </c>
      <c r="D35" s="109" t="s">
        <v>59</v>
      </c>
      <c r="E35" s="107" t="s">
        <v>648</v>
      </c>
      <c r="G35" s="117" t="s">
        <v>694</v>
      </c>
      <c r="H35" s="117" t="s">
        <v>694</v>
      </c>
      <c r="J35" s="117" t="s">
        <v>694</v>
      </c>
      <c r="K35" s="117" t="s">
        <v>694</v>
      </c>
      <c r="M35" s="117" t="s">
        <v>694</v>
      </c>
      <c r="N35" s="117" t="s">
        <v>694</v>
      </c>
      <c r="O35" s="117" t="s">
        <v>694</v>
      </c>
    </row>
    <row r="36" spans="2:15" x14ac:dyDescent="0.25">
      <c r="B36" s="102" t="s">
        <v>646</v>
      </c>
      <c r="C36" s="103">
        <f t="shared" si="0"/>
        <v>34</v>
      </c>
      <c r="D36" s="106" t="s">
        <v>61</v>
      </c>
      <c r="E36" s="102" t="s">
        <v>648</v>
      </c>
      <c r="G36" s="117" t="s">
        <v>694</v>
      </c>
      <c r="H36" s="117" t="s">
        <v>694</v>
      </c>
      <c r="J36" s="117" t="s">
        <v>694</v>
      </c>
      <c r="K36" s="117" t="s">
        <v>694</v>
      </c>
      <c r="M36" s="117" t="s">
        <v>694</v>
      </c>
      <c r="N36" s="117" t="s">
        <v>694</v>
      </c>
      <c r="O36" s="117" t="s">
        <v>694</v>
      </c>
    </row>
    <row r="37" spans="2:15" x14ac:dyDescent="0.25">
      <c r="B37" s="102" t="s">
        <v>646</v>
      </c>
      <c r="C37" s="103">
        <f t="shared" si="0"/>
        <v>35</v>
      </c>
      <c r="D37" s="104" t="s">
        <v>63</v>
      </c>
      <c r="E37" s="102" t="s">
        <v>648</v>
      </c>
      <c r="G37" s="117" t="s">
        <v>694</v>
      </c>
      <c r="H37" s="117" t="s">
        <v>694</v>
      </c>
      <c r="J37" s="117" t="s">
        <v>694</v>
      </c>
      <c r="K37" s="117" t="s">
        <v>694</v>
      </c>
      <c r="M37" s="117" t="s">
        <v>694</v>
      </c>
      <c r="N37" s="117" t="s">
        <v>694</v>
      </c>
      <c r="O37" s="117" t="s">
        <v>694</v>
      </c>
    </row>
    <row r="38" spans="2:15" x14ac:dyDescent="0.25">
      <c r="B38" s="102" t="s">
        <v>646</v>
      </c>
      <c r="C38" s="103">
        <f t="shared" si="0"/>
        <v>36</v>
      </c>
      <c r="D38" s="104" t="s">
        <v>594</v>
      </c>
      <c r="E38" s="102" t="s">
        <v>648</v>
      </c>
      <c r="F38" s="110" t="s">
        <v>683</v>
      </c>
      <c r="G38" s="117" t="s">
        <v>694</v>
      </c>
      <c r="H38" s="117" t="s">
        <v>694</v>
      </c>
      <c r="I38" s="117" t="s">
        <v>694</v>
      </c>
      <c r="J38" s="117" t="s">
        <v>694</v>
      </c>
      <c r="K38" s="117" t="s">
        <v>694</v>
      </c>
      <c r="L38" s="117" t="s">
        <v>694</v>
      </c>
      <c r="M38" s="117" t="s">
        <v>694</v>
      </c>
      <c r="N38" s="117" t="s">
        <v>694</v>
      </c>
      <c r="O38" s="117" t="s">
        <v>694</v>
      </c>
    </row>
    <row r="39" spans="2:15" x14ac:dyDescent="0.25">
      <c r="B39" s="102" t="s">
        <v>646</v>
      </c>
      <c r="C39" s="103">
        <f t="shared" si="0"/>
        <v>37</v>
      </c>
      <c r="D39" s="104" t="s">
        <v>66</v>
      </c>
      <c r="E39" s="102" t="s">
        <v>648</v>
      </c>
      <c r="G39" s="117" t="s">
        <v>694</v>
      </c>
      <c r="H39" s="117" t="s">
        <v>694</v>
      </c>
      <c r="I39" s="117" t="s">
        <v>694</v>
      </c>
      <c r="J39" s="117" t="s">
        <v>694</v>
      </c>
      <c r="K39" s="117" t="s">
        <v>694</v>
      </c>
      <c r="M39" s="117" t="s">
        <v>694</v>
      </c>
      <c r="N39" s="117" t="s">
        <v>694</v>
      </c>
      <c r="O39" s="117" t="s">
        <v>694</v>
      </c>
    </row>
    <row r="40" spans="2:15" x14ac:dyDescent="0.25">
      <c r="B40" s="102" t="s">
        <v>646</v>
      </c>
      <c r="C40" s="103">
        <f t="shared" si="0"/>
        <v>38</v>
      </c>
      <c r="D40" s="104" t="s">
        <v>68</v>
      </c>
      <c r="E40" s="102" t="s">
        <v>648</v>
      </c>
      <c r="G40" s="117" t="s">
        <v>694</v>
      </c>
      <c r="H40" s="117" t="s">
        <v>694</v>
      </c>
      <c r="I40" s="117" t="s">
        <v>694</v>
      </c>
      <c r="J40" s="117" t="s">
        <v>694</v>
      </c>
      <c r="K40" s="117" t="s">
        <v>694</v>
      </c>
      <c r="M40" s="117" t="s">
        <v>694</v>
      </c>
      <c r="N40" s="117" t="s">
        <v>694</v>
      </c>
      <c r="O40" s="117" t="s">
        <v>694</v>
      </c>
    </row>
    <row r="41" spans="2:15" x14ac:dyDescent="0.25">
      <c r="B41" s="102" t="s">
        <v>646</v>
      </c>
      <c r="C41" s="103">
        <f t="shared" si="0"/>
        <v>39</v>
      </c>
      <c r="D41" s="104" t="s">
        <v>70</v>
      </c>
      <c r="E41" s="102" t="s">
        <v>648</v>
      </c>
      <c r="G41" s="117" t="s">
        <v>694</v>
      </c>
      <c r="H41" s="117" t="s">
        <v>694</v>
      </c>
      <c r="I41" s="117" t="s">
        <v>694</v>
      </c>
      <c r="J41" s="117" t="s">
        <v>694</v>
      </c>
      <c r="K41" s="117" t="s">
        <v>694</v>
      </c>
      <c r="M41" s="117" t="s">
        <v>694</v>
      </c>
      <c r="N41" s="117" t="s">
        <v>694</v>
      </c>
      <c r="O41" s="117" t="s">
        <v>694</v>
      </c>
    </row>
    <row r="42" spans="2:15" s="80" customFormat="1" x14ac:dyDescent="0.25">
      <c r="B42" s="102" t="s">
        <v>646</v>
      </c>
      <c r="C42" s="103">
        <f t="shared" si="0"/>
        <v>40</v>
      </c>
      <c r="D42" s="106" t="s">
        <v>650</v>
      </c>
      <c r="E42" s="102" t="s">
        <v>648</v>
      </c>
      <c r="G42" s="117" t="s">
        <v>694</v>
      </c>
      <c r="H42" s="117" t="s">
        <v>694</v>
      </c>
      <c r="I42" s="117" t="s">
        <v>694</v>
      </c>
      <c r="J42" s="117" t="s">
        <v>694</v>
      </c>
      <c r="K42" s="117" t="s">
        <v>694</v>
      </c>
      <c r="M42" s="117" t="s">
        <v>694</v>
      </c>
      <c r="N42" s="117" t="s">
        <v>694</v>
      </c>
      <c r="O42" s="117" t="s">
        <v>694</v>
      </c>
    </row>
    <row r="43" spans="2:15" s="80" customFormat="1" x14ac:dyDescent="0.25">
      <c r="B43" s="102" t="s">
        <v>646</v>
      </c>
      <c r="C43" s="103">
        <f t="shared" si="0"/>
        <v>41</v>
      </c>
      <c r="D43" s="106" t="s">
        <v>74</v>
      </c>
      <c r="E43" s="102" t="s">
        <v>648</v>
      </c>
      <c r="G43" s="117" t="s">
        <v>694</v>
      </c>
      <c r="H43" s="117" t="s">
        <v>694</v>
      </c>
      <c r="I43" s="117" t="s">
        <v>694</v>
      </c>
      <c r="J43" s="117" t="s">
        <v>694</v>
      </c>
      <c r="K43" s="117" t="s">
        <v>694</v>
      </c>
      <c r="M43" s="117" t="s">
        <v>694</v>
      </c>
      <c r="N43" s="117" t="s">
        <v>694</v>
      </c>
      <c r="O43" s="117" t="s">
        <v>694</v>
      </c>
    </row>
    <row r="44" spans="2:15" x14ac:dyDescent="0.25">
      <c r="B44" s="102" t="s">
        <v>646</v>
      </c>
      <c r="C44" s="103">
        <f t="shared" si="0"/>
        <v>42</v>
      </c>
      <c r="D44" s="104" t="s">
        <v>76</v>
      </c>
      <c r="E44" s="102" t="s">
        <v>648</v>
      </c>
      <c r="G44" s="117" t="s">
        <v>694</v>
      </c>
      <c r="H44" s="117" t="s">
        <v>694</v>
      </c>
      <c r="J44" s="117" t="s">
        <v>694</v>
      </c>
      <c r="K44" s="117" t="s">
        <v>694</v>
      </c>
      <c r="M44" s="117" t="s">
        <v>694</v>
      </c>
      <c r="N44" s="117" t="s">
        <v>694</v>
      </c>
      <c r="O44" s="117" t="s">
        <v>694</v>
      </c>
    </row>
    <row r="45" spans="2:15" x14ac:dyDescent="0.25">
      <c r="B45" s="102" t="s">
        <v>646</v>
      </c>
      <c r="C45" s="103">
        <f t="shared" si="0"/>
        <v>43</v>
      </c>
      <c r="D45" s="104" t="s">
        <v>77</v>
      </c>
      <c r="E45" s="102" t="s">
        <v>648</v>
      </c>
      <c r="G45" s="117" t="s">
        <v>694</v>
      </c>
      <c r="H45" s="117" t="s">
        <v>694</v>
      </c>
      <c r="J45" s="117" t="s">
        <v>694</v>
      </c>
      <c r="K45" s="117" t="s">
        <v>694</v>
      </c>
      <c r="M45" s="117" t="s">
        <v>694</v>
      </c>
      <c r="N45" s="117" t="s">
        <v>694</v>
      </c>
      <c r="O45" s="117" t="s">
        <v>694</v>
      </c>
    </row>
    <row r="46" spans="2:15" x14ac:dyDescent="0.25">
      <c r="B46" s="102" t="s">
        <v>646</v>
      </c>
      <c r="C46" s="103">
        <f t="shared" si="0"/>
        <v>44</v>
      </c>
      <c r="D46" s="104" t="s">
        <v>78</v>
      </c>
      <c r="E46" s="102" t="s">
        <v>648</v>
      </c>
      <c r="G46" s="117" t="s">
        <v>694</v>
      </c>
      <c r="H46" s="117" t="s">
        <v>694</v>
      </c>
      <c r="J46" s="117" t="s">
        <v>694</v>
      </c>
      <c r="K46" s="117" t="s">
        <v>694</v>
      </c>
      <c r="M46" s="117" t="s">
        <v>694</v>
      </c>
      <c r="N46" s="117" t="s">
        <v>694</v>
      </c>
      <c r="O46" s="117" t="s">
        <v>694</v>
      </c>
    </row>
    <row r="47" spans="2:15" x14ac:dyDescent="0.25">
      <c r="B47" s="102" t="s">
        <v>646</v>
      </c>
      <c r="C47" s="103">
        <f t="shared" si="0"/>
        <v>45</v>
      </c>
      <c r="D47" s="111" t="s">
        <v>79</v>
      </c>
      <c r="E47" s="102" t="s">
        <v>648</v>
      </c>
      <c r="G47" s="117" t="s">
        <v>694</v>
      </c>
      <c r="H47" s="117" t="s">
        <v>694</v>
      </c>
      <c r="J47" s="117" t="s">
        <v>694</v>
      </c>
      <c r="K47" s="117" t="s">
        <v>694</v>
      </c>
      <c r="M47" s="117" t="s">
        <v>694</v>
      </c>
      <c r="N47" s="117" t="s">
        <v>694</v>
      </c>
      <c r="O47" s="117" t="s">
        <v>694</v>
      </c>
    </row>
    <row r="48" spans="2:15" x14ac:dyDescent="0.25">
      <c r="B48" s="102" t="s">
        <v>646</v>
      </c>
      <c r="C48" s="103">
        <f t="shared" si="0"/>
        <v>46</v>
      </c>
      <c r="D48" s="104" t="s">
        <v>80</v>
      </c>
      <c r="E48" s="102" t="s">
        <v>648</v>
      </c>
      <c r="G48" s="117" t="s">
        <v>694</v>
      </c>
      <c r="H48" s="117" t="s">
        <v>694</v>
      </c>
      <c r="I48" s="117" t="s">
        <v>694</v>
      </c>
      <c r="J48" s="117" t="s">
        <v>694</v>
      </c>
      <c r="K48" s="117" t="s">
        <v>694</v>
      </c>
      <c r="M48" s="117" t="s">
        <v>694</v>
      </c>
      <c r="N48" s="117" t="s">
        <v>694</v>
      </c>
      <c r="O48" s="117" t="s">
        <v>694</v>
      </c>
    </row>
    <row r="49" spans="1:15" x14ac:dyDescent="0.25">
      <c r="B49" s="102" t="s">
        <v>646</v>
      </c>
      <c r="C49" s="103">
        <f t="shared" si="0"/>
        <v>47</v>
      </c>
      <c r="D49" s="104" t="s">
        <v>597</v>
      </c>
      <c r="E49" s="102" t="s">
        <v>648</v>
      </c>
      <c r="F49" s="110" t="s">
        <v>683</v>
      </c>
      <c r="G49" s="117" t="s">
        <v>694</v>
      </c>
      <c r="H49" s="117" t="s">
        <v>694</v>
      </c>
      <c r="J49" s="117" t="s">
        <v>694</v>
      </c>
      <c r="K49" s="117" t="s">
        <v>694</v>
      </c>
      <c r="L49" s="117" t="s">
        <v>694</v>
      </c>
      <c r="M49" s="117" t="s">
        <v>694</v>
      </c>
      <c r="N49" s="117" t="s">
        <v>694</v>
      </c>
      <c r="O49" s="117" t="s">
        <v>694</v>
      </c>
    </row>
    <row r="50" spans="1:15" x14ac:dyDescent="0.25">
      <c r="B50" s="102" t="s">
        <v>646</v>
      </c>
      <c r="C50" s="103">
        <f t="shared" si="0"/>
        <v>48</v>
      </c>
      <c r="D50" s="104" t="s">
        <v>84</v>
      </c>
      <c r="E50" s="102" t="s">
        <v>648</v>
      </c>
      <c r="G50" s="117" t="s">
        <v>694</v>
      </c>
      <c r="H50" s="117" t="s">
        <v>694</v>
      </c>
      <c r="J50" s="117" t="s">
        <v>694</v>
      </c>
      <c r="K50" s="117" t="s">
        <v>694</v>
      </c>
      <c r="M50" s="117" t="s">
        <v>694</v>
      </c>
      <c r="N50" s="117" t="s">
        <v>694</v>
      </c>
      <c r="O50" s="117" t="s">
        <v>694</v>
      </c>
    </row>
    <row r="51" spans="1:15" x14ac:dyDescent="0.25">
      <c r="B51" s="102" t="s">
        <v>646</v>
      </c>
      <c r="C51" s="103">
        <f>C50+1</f>
        <v>49</v>
      </c>
      <c r="D51" s="104" t="s">
        <v>86</v>
      </c>
      <c r="E51" s="102" t="s">
        <v>648</v>
      </c>
      <c r="G51" s="117" t="s">
        <v>694</v>
      </c>
      <c r="H51" s="117" t="s">
        <v>694</v>
      </c>
      <c r="J51" s="117" t="s">
        <v>694</v>
      </c>
      <c r="K51" s="117" t="s">
        <v>694</v>
      </c>
      <c r="M51" s="117" t="s">
        <v>694</v>
      </c>
      <c r="N51" s="117" t="s">
        <v>694</v>
      </c>
      <c r="O51" s="117" t="s">
        <v>694</v>
      </c>
    </row>
    <row r="52" spans="1:15" x14ac:dyDescent="0.25">
      <c r="B52" s="102" t="s">
        <v>646</v>
      </c>
      <c r="C52" s="103">
        <f t="shared" si="0"/>
        <v>50</v>
      </c>
      <c r="D52" s="104" t="s">
        <v>87</v>
      </c>
      <c r="E52" s="102" t="s">
        <v>648</v>
      </c>
      <c r="G52" s="117" t="s">
        <v>694</v>
      </c>
      <c r="H52" s="117" t="s">
        <v>694</v>
      </c>
      <c r="I52" s="117" t="s">
        <v>694</v>
      </c>
      <c r="J52" s="117" t="s">
        <v>694</v>
      </c>
      <c r="K52" s="117" t="s">
        <v>694</v>
      </c>
      <c r="M52" s="117" t="s">
        <v>694</v>
      </c>
      <c r="N52" s="117" t="s">
        <v>694</v>
      </c>
      <c r="O52" s="117" t="s">
        <v>694</v>
      </c>
    </row>
    <row r="53" spans="1:15" x14ac:dyDescent="0.25">
      <c r="B53" s="102" t="s">
        <v>646</v>
      </c>
      <c r="C53" s="103">
        <f t="shared" si="0"/>
        <v>51</v>
      </c>
      <c r="D53" s="104" t="s">
        <v>88</v>
      </c>
      <c r="E53" s="102" t="s">
        <v>648</v>
      </c>
      <c r="G53" s="117" t="s">
        <v>694</v>
      </c>
      <c r="H53" s="117" t="s">
        <v>694</v>
      </c>
      <c r="J53" s="117" t="s">
        <v>694</v>
      </c>
      <c r="K53" s="117" t="s">
        <v>694</v>
      </c>
      <c r="M53" s="117" t="s">
        <v>694</v>
      </c>
      <c r="N53" s="117" t="s">
        <v>694</v>
      </c>
      <c r="O53" s="117" t="s">
        <v>694</v>
      </c>
    </row>
    <row r="54" spans="1:15" x14ac:dyDescent="0.25">
      <c r="B54" s="102" t="s">
        <v>646</v>
      </c>
      <c r="C54" s="103">
        <f t="shared" si="0"/>
        <v>52</v>
      </c>
      <c r="D54" s="104" t="s">
        <v>89</v>
      </c>
      <c r="E54" s="102" t="s">
        <v>648</v>
      </c>
      <c r="G54" s="117" t="s">
        <v>694</v>
      </c>
      <c r="H54" s="117" t="s">
        <v>694</v>
      </c>
      <c r="J54" s="117" t="s">
        <v>694</v>
      </c>
      <c r="K54" s="117" t="s">
        <v>694</v>
      </c>
      <c r="M54" s="117" t="s">
        <v>694</v>
      </c>
      <c r="N54" s="117" t="s">
        <v>694</v>
      </c>
      <c r="O54" s="117" t="s">
        <v>694</v>
      </c>
    </row>
    <row r="55" spans="1:15" x14ac:dyDescent="0.25">
      <c r="B55" s="102" t="s">
        <v>646</v>
      </c>
      <c r="C55" s="103">
        <f t="shared" si="0"/>
        <v>53</v>
      </c>
      <c r="D55" s="104" t="s">
        <v>91</v>
      </c>
      <c r="E55" s="102" t="s">
        <v>648</v>
      </c>
      <c r="G55" s="117" t="s">
        <v>694</v>
      </c>
      <c r="H55" s="117" t="s">
        <v>694</v>
      </c>
      <c r="J55" s="117" t="s">
        <v>694</v>
      </c>
      <c r="K55" s="117" t="s">
        <v>694</v>
      </c>
      <c r="M55" s="117" t="s">
        <v>694</v>
      </c>
      <c r="N55" s="117" t="s">
        <v>694</v>
      </c>
      <c r="O55" s="117" t="s">
        <v>694</v>
      </c>
    </row>
    <row r="56" spans="1:15" x14ac:dyDescent="0.25">
      <c r="B56" s="102" t="s">
        <v>646</v>
      </c>
      <c r="C56" s="103">
        <f t="shared" si="0"/>
        <v>54</v>
      </c>
      <c r="D56" s="104" t="s">
        <v>93</v>
      </c>
      <c r="E56" s="102" t="s">
        <v>648</v>
      </c>
      <c r="G56" s="117" t="s">
        <v>694</v>
      </c>
      <c r="H56" s="117" t="s">
        <v>694</v>
      </c>
      <c r="J56" s="117" t="s">
        <v>694</v>
      </c>
      <c r="K56" s="117" t="s">
        <v>694</v>
      </c>
      <c r="M56" s="117" t="s">
        <v>694</v>
      </c>
      <c r="N56" s="117" t="s">
        <v>694</v>
      </c>
      <c r="O56" s="117" t="s">
        <v>694</v>
      </c>
    </row>
    <row r="57" spans="1:15" x14ac:dyDescent="0.25">
      <c r="B57" s="102" t="s">
        <v>646</v>
      </c>
      <c r="C57" s="103">
        <f t="shared" si="0"/>
        <v>55</v>
      </c>
      <c r="D57" s="104" t="s">
        <v>94</v>
      </c>
      <c r="E57" s="102" t="s">
        <v>648</v>
      </c>
      <c r="G57" s="117" t="s">
        <v>694</v>
      </c>
      <c r="H57" s="117" t="s">
        <v>694</v>
      </c>
      <c r="J57" s="117" t="s">
        <v>694</v>
      </c>
      <c r="K57" s="117" t="s">
        <v>694</v>
      </c>
      <c r="M57" s="117" t="s">
        <v>694</v>
      </c>
      <c r="N57" s="117" t="s">
        <v>694</v>
      </c>
      <c r="O57" s="117" t="s">
        <v>694</v>
      </c>
    </row>
    <row r="58" spans="1:15" x14ac:dyDescent="0.25">
      <c r="B58" s="102" t="s">
        <v>646</v>
      </c>
      <c r="C58" s="103">
        <f t="shared" si="0"/>
        <v>56</v>
      </c>
      <c r="D58" s="104" t="s">
        <v>96</v>
      </c>
      <c r="E58" s="102" t="s">
        <v>648</v>
      </c>
      <c r="G58" s="117" t="s">
        <v>694</v>
      </c>
      <c r="H58" s="117" t="s">
        <v>694</v>
      </c>
      <c r="J58" s="117" t="s">
        <v>694</v>
      </c>
      <c r="K58" s="117" t="s">
        <v>694</v>
      </c>
      <c r="M58" s="117" t="s">
        <v>694</v>
      </c>
      <c r="N58" s="117" t="s">
        <v>694</v>
      </c>
      <c r="O58" s="117" t="s">
        <v>694</v>
      </c>
    </row>
    <row r="59" spans="1:15" x14ac:dyDescent="0.25">
      <c r="B59" s="102" t="s">
        <v>646</v>
      </c>
      <c r="C59" s="103">
        <f t="shared" si="0"/>
        <v>57</v>
      </c>
      <c r="D59" s="104" t="s">
        <v>651</v>
      </c>
      <c r="E59" s="102" t="s">
        <v>648</v>
      </c>
      <c r="G59" s="117" t="s">
        <v>694</v>
      </c>
      <c r="H59" s="117" t="s">
        <v>694</v>
      </c>
      <c r="J59" s="117" t="s">
        <v>694</v>
      </c>
      <c r="K59" s="117" t="s">
        <v>694</v>
      </c>
      <c r="M59" s="117" t="s">
        <v>694</v>
      </c>
      <c r="N59" s="117" t="s">
        <v>694</v>
      </c>
      <c r="O59" s="117" t="s">
        <v>694</v>
      </c>
    </row>
    <row r="60" spans="1:15" x14ac:dyDescent="0.25">
      <c r="B60" s="102" t="s">
        <v>646</v>
      </c>
      <c r="C60" s="103">
        <f t="shared" si="0"/>
        <v>58</v>
      </c>
      <c r="D60" s="104" t="s">
        <v>99</v>
      </c>
      <c r="E60" s="102" t="s">
        <v>648</v>
      </c>
      <c r="G60" s="117" t="s">
        <v>694</v>
      </c>
      <c r="H60" s="117" t="s">
        <v>694</v>
      </c>
      <c r="J60" s="117" t="s">
        <v>694</v>
      </c>
      <c r="K60" s="117" t="s">
        <v>694</v>
      </c>
      <c r="M60" s="117" t="s">
        <v>694</v>
      </c>
      <c r="N60" s="117" t="s">
        <v>694</v>
      </c>
      <c r="O60" s="117" t="s">
        <v>694</v>
      </c>
    </row>
    <row r="61" spans="1:15" x14ac:dyDescent="0.25">
      <c r="A61" s="102" t="s">
        <v>652</v>
      </c>
      <c r="B61" s="102" t="s">
        <v>646</v>
      </c>
      <c r="C61" s="112">
        <f t="shared" si="0"/>
        <v>59</v>
      </c>
      <c r="D61" s="80" t="s">
        <v>653</v>
      </c>
      <c r="E61" s="102" t="s">
        <v>648</v>
      </c>
      <c r="G61" s="117" t="s">
        <v>694</v>
      </c>
      <c r="H61" s="117" t="s">
        <v>694</v>
      </c>
      <c r="J61" s="117" t="s">
        <v>694</v>
      </c>
      <c r="K61" s="117" t="s">
        <v>694</v>
      </c>
      <c r="M61" s="117" t="s">
        <v>694</v>
      </c>
      <c r="N61" s="117" t="s">
        <v>694</v>
      </c>
      <c r="O61" s="117" t="s">
        <v>694</v>
      </c>
    </row>
    <row r="62" spans="1:15" x14ac:dyDescent="0.25">
      <c r="B62" s="102" t="s">
        <v>646</v>
      </c>
      <c r="C62" s="112">
        <f t="shared" si="0"/>
        <v>60</v>
      </c>
      <c r="D62" s="80" t="s">
        <v>654</v>
      </c>
      <c r="E62" s="80" t="s">
        <v>652</v>
      </c>
      <c r="G62" s="117" t="s">
        <v>694</v>
      </c>
      <c r="H62" s="117" t="s">
        <v>694</v>
      </c>
      <c r="J62" s="117" t="s">
        <v>694</v>
      </c>
      <c r="K62" s="117" t="s">
        <v>694</v>
      </c>
      <c r="M62" s="117" t="s">
        <v>694</v>
      </c>
      <c r="N62" s="117" t="s">
        <v>694</v>
      </c>
      <c r="O62" s="117" t="s">
        <v>694</v>
      </c>
    </row>
    <row r="63" spans="1:15" x14ac:dyDescent="0.25">
      <c r="B63" s="102" t="s">
        <v>646</v>
      </c>
      <c r="C63" s="112">
        <f t="shared" si="0"/>
        <v>61</v>
      </c>
      <c r="D63" s="80" t="s">
        <v>655</v>
      </c>
      <c r="E63" s="80" t="s">
        <v>652</v>
      </c>
      <c r="G63" s="117" t="s">
        <v>694</v>
      </c>
      <c r="H63" s="117" t="s">
        <v>694</v>
      </c>
      <c r="J63" s="117" t="s">
        <v>694</v>
      </c>
      <c r="K63" s="117" t="s">
        <v>694</v>
      </c>
      <c r="M63" s="117" t="s">
        <v>694</v>
      </c>
      <c r="N63" s="117" t="s">
        <v>694</v>
      </c>
      <c r="O63" s="117" t="s">
        <v>694</v>
      </c>
    </row>
    <row r="64" spans="1:15" x14ac:dyDescent="0.25">
      <c r="B64" s="102" t="s">
        <v>646</v>
      </c>
      <c r="C64" s="112">
        <f t="shared" si="0"/>
        <v>62</v>
      </c>
      <c r="D64" s="80" t="s">
        <v>656</v>
      </c>
      <c r="E64" s="80" t="s">
        <v>652</v>
      </c>
      <c r="G64" s="117" t="s">
        <v>694</v>
      </c>
      <c r="H64" s="117" t="s">
        <v>694</v>
      </c>
      <c r="J64" s="117" t="s">
        <v>694</v>
      </c>
      <c r="K64" s="117" t="s">
        <v>694</v>
      </c>
      <c r="M64" s="117" t="s">
        <v>694</v>
      </c>
      <c r="N64" s="117" t="s">
        <v>694</v>
      </c>
      <c r="O64" s="117" t="s">
        <v>694</v>
      </c>
    </row>
    <row r="65" spans="2:15" x14ac:dyDescent="0.25">
      <c r="B65" s="102" t="s">
        <v>646</v>
      </c>
      <c r="C65" s="112">
        <f t="shared" si="0"/>
        <v>63</v>
      </c>
      <c r="D65" s="80" t="s">
        <v>657</v>
      </c>
      <c r="E65" s="80" t="s">
        <v>652</v>
      </c>
      <c r="G65" s="117" t="s">
        <v>694</v>
      </c>
      <c r="H65" s="117" t="s">
        <v>694</v>
      </c>
      <c r="J65" s="117" t="s">
        <v>694</v>
      </c>
      <c r="K65" s="117" t="s">
        <v>694</v>
      </c>
      <c r="M65" s="117" t="s">
        <v>694</v>
      </c>
      <c r="N65" s="117" t="s">
        <v>694</v>
      </c>
      <c r="O65" s="117" t="s">
        <v>694</v>
      </c>
    </row>
    <row r="66" spans="2:15" x14ac:dyDescent="0.25">
      <c r="B66" s="102" t="s">
        <v>646</v>
      </c>
      <c r="C66" s="112">
        <f t="shared" si="0"/>
        <v>64</v>
      </c>
      <c r="D66" s="80" t="s">
        <v>658</v>
      </c>
      <c r="E66" s="80" t="s">
        <v>652</v>
      </c>
      <c r="G66" s="117" t="s">
        <v>694</v>
      </c>
      <c r="H66" s="117" t="s">
        <v>694</v>
      </c>
      <c r="J66" s="117" t="s">
        <v>694</v>
      </c>
      <c r="K66" s="117" t="s">
        <v>694</v>
      </c>
      <c r="M66" s="117" t="s">
        <v>694</v>
      </c>
      <c r="N66" s="117" t="s">
        <v>694</v>
      </c>
      <c r="O66" s="117" t="s">
        <v>694</v>
      </c>
    </row>
    <row r="67" spans="2:15" x14ac:dyDescent="0.25">
      <c r="B67" s="102" t="s">
        <v>646</v>
      </c>
      <c r="C67" s="112">
        <f t="shared" si="0"/>
        <v>65</v>
      </c>
      <c r="D67" s="80" t="s">
        <v>659</v>
      </c>
      <c r="E67" s="80" t="s">
        <v>652</v>
      </c>
      <c r="G67" s="117" t="s">
        <v>694</v>
      </c>
      <c r="H67" s="117" t="s">
        <v>694</v>
      </c>
      <c r="J67" s="117" t="s">
        <v>694</v>
      </c>
      <c r="K67" s="117" t="s">
        <v>694</v>
      </c>
      <c r="M67" s="117" t="s">
        <v>694</v>
      </c>
      <c r="N67" s="117" t="s">
        <v>694</v>
      </c>
      <c r="O67" s="117" t="s">
        <v>694</v>
      </c>
    </row>
    <row r="68" spans="2:15" x14ac:dyDescent="0.25">
      <c r="B68" s="102" t="s">
        <v>646</v>
      </c>
      <c r="C68" s="112">
        <f t="shared" si="0"/>
        <v>66</v>
      </c>
      <c r="D68" s="106" t="s">
        <v>100</v>
      </c>
      <c r="E68" s="102" t="s">
        <v>648</v>
      </c>
      <c r="G68" s="117" t="s">
        <v>694</v>
      </c>
      <c r="H68" s="117" t="s">
        <v>694</v>
      </c>
      <c r="J68" s="117" t="s">
        <v>694</v>
      </c>
      <c r="K68" s="117" t="s">
        <v>694</v>
      </c>
      <c r="M68" s="117" t="s">
        <v>694</v>
      </c>
      <c r="N68" s="117" t="s">
        <v>694</v>
      </c>
      <c r="O68" s="117" t="s">
        <v>694</v>
      </c>
    </row>
    <row r="69" spans="2:15" x14ac:dyDescent="0.25">
      <c r="B69" s="102" t="s">
        <v>646</v>
      </c>
      <c r="C69" s="112">
        <f t="shared" ref="C69:C100" si="1">C68+1</f>
        <v>67</v>
      </c>
      <c r="D69" s="106" t="s">
        <v>102</v>
      </c>
      <c r="E69" s="102" t="s">
        <v>648</v>
      </c>
      <c r="G69" s="117" t="s">
        <v>694</v>
      </c>
      <c r="H69" s="117" t="s">
        <v>694</v>
      </c>
      <c r="J69" s="117" t="s">
        <v>694</v>
      </c>
      <c r="K69" s="117" t="s">
        <v>694</v>
      </c>
      <c r="M69" s="117" t="s">
        <v>694</v>
      </c>
      <c r="N69" s="117" t="s">
        <v>694</v>
      </c>
      <c r="O69" s="117" t="s">
        <v>694</v>
      </c>
    </row>
    <row r="70" spans="2:15" x14ac:dyDescent="0.25">
      <c r="B70" s="102" t="s">
        <v>646</v>
      </c>
      <c r="C70" s="112">
        <f t="shared" si="1"/>
        <v>68</v>
      </c>
      <c r="D70" s="106" t="s">
        <v>104</v>
      </c>
      <c r="E70" s="102" t="s">
        <v>648</v>
      </c>
      <c r="G70" s="117" t="s">
        <v>694</v>
      </c>
      <c r="H70" s="117" t="s">
        <v>694</v>
      </c>
      <c r="J70" s="117" t="s">
        <v>694</v>
      </c>
      <c r="K70" s="117" t="s">
        <v>694</v>
      </c>
      <c r="M70" s="117" t="s">
        <v>694</v>
      </c>
      <c r="N70" s="117" t="s">
        <v>694</v>
      </c>
      <c r="O70" s="117" t="s">
        <v>694</v>
      </c>
    </row>
    <row r="71" spans="2:15" x14ac:dyDescent="0.25">
      <c r="B71" s="102" t="s">
        <v>646</v>
      </c>
      <c r="C71" s="112">
        <f t="shared" si="1"/>
        <v>69</v>
      </c>
      <c r="D71" s="106" t="s">
        <v>106</v>
      </c>
      <c r="E71" s="102" t="s">
        <v>648</v>
      </c>
      <c r="G71" s="117" t="s">
        <v>694</v>
      </c>
      <c r="H71" s="117" t="s">
        <v>694</v>
      </c>
      <c r="J71" s="117" t="s">
        <v>694</v>
      </c>
      <c r="K71" s="117" t="s">
        <v>694</v>
      </c>
      <c r="M71" s="117" t="s">
        <v>694</v>
      </c>
      <c r="N71" s="117" t="s">
        <v>694</v>
      </c>
      <c r="O71" s="117" t="s">
        <v>694</v>
      </c>
    </row>
    <row r="72" spans="2:15" x14ac:dyDescent="0.25">
      <c r="B72" s="102" t="s">
        <v>646</v>
      </c>
      <c r="C72" s="112">
        <f t="shared" si="1"/>
        <v>70</v>
      </c>
      <c r="D72" s="106" t="s">
        <v>111</v>
      </c>
      <c r="E72" s="102" t="s">
        <v>648</v>
      </c>
      <c r="G72" s="117" t="s">
        <v>694</v>
      </c>
      <c r="H72" s="117" t="s">
        <v>694</v>
      </c>
      <c r="J72" s="117" t="s">
        <v>694</v>
      </c>
      <c r="K72" s="117" t="s">
        <v>694</v>
      </c>
      <c r="M72" s="117" t="s">
        <v>694</v>
      </c>
      <c r="N72" s="117" t="s">
        <v>694</v>
      </c>
      <c r="O72" s="117" t="s">
        <v>694</v>
      </c>
    </row>
    <row r="73" spans="2:15" x14ac:dyDescent="0.25">
      <c r="B73" s="102" t="s">
        <v>646</v>
      </c>
      <c r="C73" s="112">
        <f t="shared" si="1"/>
        <v>71</v>
      </c>
      <c r="D73" s="106" t="s">
        <v>113</v>
      </c>
      <c r="E73" s="102" t="s">
        <v>648</v>
      </c>
      <c r="G73" s="117" t="s">
        <v>694</v>
      </c>
      <c r="H73" s="117" t="s">
        <v>694</v>
      </c>
      <c r="J73" s="117" t="s">
        <v>694</v>
      </c>
      <c r="K73" s="117" t="s">
        <v>694</v>
      </c>
      <c r="M73" s="117" t="s">
        <v>694</v>
      </c>
      <c r="N73" s="117" t="s">
        <v>694</v>
      </c>
      <c r="O73" s="117" t="s">
        <v>694</v>
      </c>
    </row>
    <row r="74" spans="2:15" x14ac:dyDescent="0.25">
      <c r="B74" s="102" t="s">
        <v>646</v>
      </c>
      <c r="C74" s="112">
        <f t="shared" si="1"/>
        <v>72</v>
      </c>
      <c r="D74" s="106" t="s">
        <v>600</v>
      </c>
      <c r="E74" s="102" t="s">
        <v>648</v>
      </c>
      <c r="F74" s="80"/>
      <c r="G74" s="117" t="s">
        <v>694</v>
      </c>
      <c r="H74" s="117" t="s">
        <v>694</v>
      </c>
      <c r="I74" s="117" t="s">
        <v>694</v>
      </c>
      <c r="J74" s="117" t="s">
        <v>694</v>
      </c>
      <c r="K74" s="117" t="s">
        <v>694</v>
      </c>
      <c r="M74" s="117" t="s">
        <v>694</v>
      </c>
      <c r="N74" s="117" t="s">
        <v>694</v>
      </c>
      <c r="O74" s="117" t="s">
        <v>694</v>
      </c>
    </row>
    <row r="75" spans="2:15" x14ac:dyDescent="0.25">
      <c r="B75" s="102" t="s">
        <v>646</v>
      </c>
      <c r="C75" s="112">
        <f t="shared" si="1"/>
        <v>73</v>
      </c>
      <c r="D75" s="106" t="s">
        <v>124</v>
      </c>
      <c r="E75" s="102" t="s">
        <v>648</v>
      </c>
      <c r="G75" s="117" t="s">
        <v>694</v>
      </c>
      <c r="H75" s="117" t="s">
        <v>694</v>
      </c>
      <c r="J75" s="117" t="s">
        <v>694</v>
      </c>
      <c r="K75" s="117" t="s">
        <v>694</v>
      </c>
      <c r="M75" s="117" t="s">
        <v>694</v>
      </c>
      <c r="N75" s="117" t="s">
        <v>694</v>
      </c>
      <c r="O75" s="117" t="s">
        <v>694</v>
      </c>
    </row>
    <row r="76" spans="2:15" x14ac:dyDescent="0.25">
      <c r="B76" s="102" t="s">
        <v>646</v>
      </c>
      <c r="C76" s="112">
        <f t="shared" si="1"/>
        <v>74</v>
      </c>
      <c r="D76" s="106" t="s">
        <v>125</v>
      </c>
      <c r="E76" s="102" t="s">
        <v>648</v>
      </c>
      <c r="G76" s="117" t="s">
        <v>694</v>
      </c>
      <c r="H76" s="117" t="s">
        <v>694</v>
      </c>
      <c r="J76" s="117" t="s">
        <v>694</v>
      </c>
      <c r="K76" s="117" t="s">
        <v>694</v>
      </c>
      <c r="M76" s="117" t="s">
        <v>694</v>
      </c>
      <c r="N76" s="117" t="s">
        <v>694</v>
      </c>
      <c r="O76" s="117" t="s">
        <v>694</v>
      </c>
    </row>
    <row r="77" spans="2:15" x14ac:dyDescent="0.25">
      <c r="B77" s="102" t="s">
        <v>646</v>
      </c>
      <c r="C77" s="112">
        <f t="shared" si="1"/>
        <v>75</v>
      </c>
      <c r="D77" s="106" t="s">
        <v>127</v>
      </c>
      <c r="E77" s="102" t="s">
        <v>648</v>
      </c>
      <c r="G77" s="117" t="s">
        <v>694</v>
      </c>
      <c r="H77" s="117" t="s">
        <v>694</v>
      </c>
      <c r="I77" s="117" t="s">
        <v>694</v>
      </c>
      <c r="J77" s="117" t="s">
        <v>694</v>
      </c>
      <c r="K77" s="117" t="s">
        <v>694</v>
      </c>
      <c r="M77" s="117" t="s">
        <v>694</v>
      </c>
      <c r="N77" s="117" t="s">
        <v>694</v>
      </c>
      <c r="O77" s="117" t="s">
        <v>694</v>
      </c>
    </row>
    <row r="78" spans="2:15" x14ac:dyDescent="0.25">
      <c r="B78" s="102" t="s">
        <v>646</v>
      </c>
      <c r="C78" s="112">
        <f t="shared" si="1"/>
        <v>76</v>
      </c>
      <c r="D78" s="106" t="s">
        <v>129</v>
      </c>
      <c r="E78" s="102" t="s">
        <v>648</v>
      </c>
      <c r="G78" s="117" t="s">
        <v>694</v>
      </c>
      <c r="H78" s="117" t="s">
        <v>694</v>
      </c>
      <c r="J78" s="117" t="s">
        <v>694</v>
      </c>
      <c r="K78" s="117" t="s">
        <v>694</v>
      </c>
      <c r="M78" s="117" t="s">
        <v>694</v>
      </c>
      <c r="N78" s="117" t="s">
        <v>694</v>
      </c>
      <c r="O78" s="117" t="s">
        <v>694</v>
      </c>
    </row>
    <row r="79" spans="2:15" x14ac:dyDescent="0.25">
      <c r="B79" s="102" t="s">
        <v>646</v>
      </c>
      <c r="C79" s="112">
        <f t="shared" si="1"/>
        <v>77</v>
      </c>
      <c r="D79" s="106" t="s">
        <v>130</v>
      </c>
      <c r="E79" s="102" t="s">
        <v>648</v>
      </c>
      <c r="G79" s="117" t="s">
        <v>694</v>
      </c>
      <c r="H79" s="117" t="s">
        <v>694</v>
      </c>
      <c r="I79" s="117" t="s">
        <v>694</v>
      </c>
      <c r="J79" s="117" t="s">
        <v>694</v>
      </c>
      <c r="K79" s="117" t="s">
        <v>694</v>
      </c>
      <c r="M79" s="117" t="s">
        <v>694</v>
      </c>
      <c r="N79" s="117" t="s">
        <v>694</v>
      </c>
      <c r="O79" s="117" t="s">
        <v>694</v>
      </c>
    </row>
    <row r="80" spans="2:15" x14ac:dyDescent="0.25">
      <c r="B80" s="102" t="s">
        <v>646</v>
      </c>
      <c r="C80" s="112">
        <f t="shared" si="1"/>
        <v>78</v>
      </c>
      <c r="D80" s="114" t="s">
        <v>624</v>
      </c>
      <c r="E80" s="102" t="s">
        <v>648</v>
      </c>
      <c r="F80" s="110" t="s">
        <v>683</v>
      </c>
      <c r="G80" s="117" t="s">
        <v>694</v>
      </c>
      <c r="H80" s="117" t="s">
        <v>694</v>
      </c>
      <c r="I80" s="117" t="s">
        <v>694</v>
      </c>
      <c r="J80" s="117" t="s">
        <v>694</v>
      </c>
      <c r="K80" s="117" t="s">
        <v>694</v>
      </c>
      <c r="L80" s="117" t="s">
        <v>694</v>
      </c>
      <c r="M80" s="117" t="s">
        <v>694</v>
      </c>
      <c r="N80" s="117" t="s">
        <v>694</v>
      </c>
      <c r="O80" s="117" t="s">
        <v>694</v>
      </c>
    </row>
    <row r="81" spans="1:15" x14ac:dyDescent="0.25">
      <c r="B81" s="102" t="s">
        <v>646</v>
      </c>
      <c r="C81" s="112">
        <f t="shared" si="1"/>
        <v>79</v>
      </c>
      <c r="D81" s="114" t="s">
        <v>660</v>
      </c>
      <c r="E81" s="102" t="s">
        <v>648</v>
      </c>
      <c r="F81" s="110" t="s">
        <v>683</v>
      </c>
      <c r="G81" s="117" t="s">
        <v>694</v>
      </c>
      <c r="H81" s="117" t="s">
        <v>694</v>
      </c>
      <c r="J81" s="117" t="s">
        <v>694</v>
      </c>
      <c r="K81" s="117" t="s">
        <v>694</v>
      </c>
      <c r="L81" s="117" t="s">
        <v>694</v>
      </c>
      <c r="M81" s="117" t="s">
        <v>694</v>
      </c>
      <c r="N81" s="117" t="s">
        <v>694</v>
      </c>
      <c r="O81" s="117" t="s">
        <v>694</v>
      </c>
    </row>
    <row r="82" spans="1:15" s="7" customFormat="1" x14ac:dyDescent="0.25">
      <c r="B82" s="102" t="s">
        <v>646</v>
      </c>
      <c r="C82" s="112">
        <f t="shared" si="1"/>
        <v>80</v>
      </c>
      <c r="D82" s="80" t="s">
        <v>661</v>
      </c>
      <c r="E82" s="80" t="s">
        <v>159</v>
      </c>
      <c r="F82" s="110" t="s">
        <v>683</v>
      </c>
      <c r="G82" s="117" t="s">
        <v>694</v>
      </c>
      <c r="H82" s="117" t="s">
        <v>694</v>
      </c>
      <c r="J82" s="117" t="s">
        <v>694</v>
      </c>
      <c r="K82" s="117" t="s">
        <v>694</v>
      </c>
      <c r="L82" s="117" t="s">
        <v>694</v>
      </c>
      <c r="M82" s="117" t="s">
        <v>694</v>
      </c>
      <c r="N82" s="117" t="s">
        <v>694</v>
      </c>
      <c r="O82" s="117" t="s">
        <v>694</v>
      </c>
    </row>
    <row r="83" spans="1:15" x14ac:dyDescent="0.25">
      <c r="B83" s="102" t="s">
        <v>646</v>
      </c>
      <c r="C83" s="112">
        <f>C82+1</f>
        <v>81</v>
      </c>
      <c r="D83" s="80" t="s">
        <v>662</v>
      </c>
      <c r="E83" s="80" t="s">
        <v>159</v>
      </c>
      <c r="G83" s="117" t="s">
        <v>694</v>
      </c>
      <c r="H83" s="117" t="s">
        <v>694</v>
      </c>
      <c r="J83" s="117" t="s">
        <v>694</v>
      </c>
      <c r="K83" s="117" t="s">
        <v>694</v>
      </c>
      <c r="M83" s="117" t="s">
        <v>694</v>
      </c>
      <c r="N83" s="117" t="s">
        <v>694</v>
      </c>
      <c r="O83" s="117" t="s">
        <v>694</v>
      </c>
    </row>
    <row r="84" spans="1:15" x14ac:dyDescent="0.25">
      <c r="B84" s="102" t="s">
        <v>646</v>
      </c>
      <c r="C84" s="112">
        <f t="shared" si="1"/>
        <v>82</v>
      </c>
      <c r="D84" s="80" t="s">
        <v>663</v>
      </c>
      <c r="E84" s="80" t="s">
        <v>159</v>
      </c>
      <c r="G84" s="117" t="s">
        <v>694</v>
      </c>
      <c r="H84" s="117" t="s">
        <v>694</v>
      </c>
      <c r="J84" s="117" t="s">
        <v>694</v>
      </c>
      <c r="K84" s="117" t="s">
        <v>694</v>
      </c>
      <c r="M84" s="117" t="s">
        <v>694</v>
      </c>
      <c r="N84" s="117" t="s">
        <v>694</v>
      </c>
      <c r="O84" s="117" t="s">
        <v>694</v>
      </c>
    </row>
    <row r="85" spans="1:15" x14ac:dyDescent="0.25">
      <c r="B85" s="102" t="s">
        <v>646</v>
      </c>
      <c r="C85" s="112">
        <f t="shared" si="1"/>
        <v>83</v>
      </c>
      <c r="D85" s="80" t="s">
        <v>664</v>
      </c>
      <c r="E85" s="80" t="s">
        <v>159</v>
      </c>
      <c r="F85" s="110" t="s">
        <v>683</v>
      </c>
      <c r="G85" s="117" t="s">
        <v>694</v>
      </c>
      <c r="H85" s="117" t="s">
        <v>694</v>
      </c>
      <c r="I85" s="117" t="s">
        <v>694</v>
      </c>
      <c r="J85" s="117" t="s">
        <v>694</v>
      </c>
      <c r="K85" s="117" t="s">
        <v>694</v>
      </c>
      <c r="L85" s="117" t="s">
        <v>694</v>
      </c>
      <c r="M85" s="117" t="s">
        <v>694</v>
      </c>
      <c r="N85" s="117" t="s">
        <v>694</v>
      </c>
      <c r="O85" s="117" t="s">
        <v>694</v>
      </c>
    </row>
    <row r="86" spans="1:15" x14ac:dyDescent="0.25">
      <c r="B86" s="102" t="s">
        <v>646</v>
      </c>
      <c r="C86" s="112">
        <f t="shared" si="1"/>
        <v>84</v>
      </c>
      <c r="D86" s="80" t="s">
        <v>665</v>
      </c>
      <c r="E86" s="80" t="s">
        <v>159</v>
      </c>
      <c r="F86" s="110" t="s">
        <v>683</v>
      </c>
      <c r="G86" s="117" t="s">
        <v>694</v>
      </c>
      <c r="H86" s="117" t="s">
        <v>694</v>
      </c>
      <c r="J86" s="117" t="s">
        <v>694</v>
      </c>
      <c r="K86" s="117" t="s">
        <v>694</v>
      </c>
      <c r="L86" s="117" t="s">
        <v>694</v>
      </c>
      <c r="M86" s="117" t="s">
        <v>694</v>
      </c>
      <c r="N86" s="117" t="s">
        <v>694</v>
      </c>
      <c r="O86" s="117" t="s">
        <v>694</v>
      </c>
    </row>
    <row r="87" spans="1:15" x14ac:dyDescent="0.25">
      <c r="B87" s="102" t="s">
        <v>646</v>
      </c>
      <c r="C87" s="112">
        <f t="shared" si="1"/>
        <v>85</v>
      </c>
      <c r="D87" s="80" t="s">
        <v>666</v>
      </c>
      <c r="E87" s="80" t="s">
        <v>159</v>
      </c>
      <c r="F87" s="110" t="s">
        <v>683</v>
      </c>
      <c r="G87" s="117" t="s">
        <v>694</v>
      </c>
      <c r="H87" s="117" t="s">
        <v>694</v>
      </c>
      <c r="J87" s="117" t="s">
        <v>694</v>
      </c>
      <c r="K87" s="117" t="s">
        <v>694</v>
      </c>
      <c r="L87" s="117" t="s">
        <v>694</v>
      </c>
      <c r="M87" s="117" t="s">
        <v>694</v>
      </c>
      <c r="N87" s="117" t="s">
        <v>694</v>
      </c>
      <c r="O87" s="117" t="s">
        <v>694</v>
      </c>
    </row>
    <row r="88" spans="1:15" x14ac:dyDescent="0.25">
      <c r="B88" s="102" t="s">
        <v>646</v>
      </c>
      <c r="C88" s="112">
        <f t="shared" si="1"/>
        <v>86</v>
      </c>
      <c r="D88" s="80" t="s">
        <v>667</v>
      </c>
      <c r="E88" s="80" t="s">
        <v>159</v>
      </c>
      <c r="F88" s="110" t="s">
        <v>683</v>
      </c>
      <c r="G88" s="117" t="s">
        <v>694</v>
      </c>
      <c r="H88" s="117" t="s">
        <v>694</v>
      </c>
      <c r="J88" s="117" t="s">
        <v>694</v>
      </c>
      <c r="K88" s="117" t="s">
        <v>694</v>
      </c>
      <c r="L88" s="117" t="s">
        <v>694</v>
      </c>
      <c r="M88" s="117" t="s">
        <v>694</v>
      </c>
      <c r="N88" s="117" t="s">
        <v>694</v>
      </c>
      <c r="O88" s="117" t="s">
        <v>694</v>
      </c>
    </row>
    <row r="89" spans="1:15" x14ac:dyDescent="0.25">
      <c r="B89" s="102" t="s">
        <v>646</v>
      </c>
      <c r="C89" s="112">
        <f t="shared" si="1"/>
        <v>87</v>
      </c>
      <c r="D89" s="80" t="s">
        <v>668</v>
      </c>
      <c r="E89" s="80" t="s">
        <v>159</v>
      </c>
      <c r="F89" s="110" t="s">
        <v>683</v>
      </c>
      <c r="G89" s="117" t="s">
        <v>694</v>
      </c>
      <c r="H89" s="117" t="s">
        <v>694</v>
      </c>
      <c r="J89" s="117" t="s">
        <v>694</v>
      </c>
      <c r="K89" s="117" t="s">
        <v>694</v>
      </c>
      <c r="L89" s="117" t="s">
        <v>694</v>
      </c>
      <c r="M89" s="117" t="s">
        <v>694</v>
      </c>
      <c r="N89" s="117" t="s">
        <v>694</v>
      </c>
      <c r="O89" s="117" t="s">
        <v>694</v>
      </c>
    </row>
    <row r="90" spans="1:15" x14ac:dyDescent="0.25">
      <c r="B90" s="102" t="s">
        <v>646</v>
      </c>
      <c r="C90" s="112">
        <f t="shared" si="1"/>
        <v>88</v>
      </c>
      <c r="D90" s="80" t="s">
        <v>669</v>
      </c>
      <c r="E90" s="80" t="s">
        <v>159</v>
      </c>
      <c r="G90" s="117" t="s">
        <v>694</v>
      </c>
      <c r="H90" s="117" t="s">
        <v>694</v>
      </c>
      <c r="J90" s="117" t="s">
        <v>694</v>
      </c>
      <c r="K90" s="117" t="s">
        <v>694</v>
      </c>
      <c r="M90" s="117" t="s">
        <v>694</v>
      </c>
      <c r="N90" s="117" t="s">
        <v>694</v>
      </c>
      <c r="O90" s="117" t="s">
        <v>694</v>
      </c>
    </row>
    <row r="91" spans="1:15" x14ac:dyDescent="0.25">
      <c r="B91" s="102" t="s">
        <v>646</v>
      </c>
      <c r="C91" s="112">
        <f t="shared" si="1"/>
        <v>89</v>
      </c>
      <c r="D91" s="80" t="s">
        <v>670</v>
      </c>
      <c r="E91" s="80" t="s">
        <v>159</v>
      </c>
      <c r="G91" s="117" t="s">
        <v>694</v>
      </c>
      <c r="H91" s="117" t="s">
        <v>694</v>
      </c>
      <c r="J91" s="117" t="s">
        <v>694</v>
      </c>
      <c r="K91" s="117" t="s">
        <v>694</v>
      </c>
      <c r="M91" s="117" t="s">
        <v>694</v>
      </c>
      <c r="N91" s="117" t="s">
        <v>694</v>
      </c>
      <c r="O91" s="117" t="s">
        <v>694</v>
      </c>
    </row>
    <row r="92" spans="1:15" x14ac:dyDescent="0.25">
      <c r="A92" s="80"/>
      <c r="B92" s="80" t="s">
        <v>646</v>
      </c>
      <c r="C92" s="112">
        <f t="shared" si="1"/>
        <v>90</v>
      </c>
      <c r="D92" s="80" t="s">
        <v>671</v>
      </c>
      <c r="E92" s="80" t="s">
        <v>159</v>
      </c>
      <c r="G92" s="117" t="s">
        <v>694</v>
      </c>
      <c r="H92" s="117" t="s">
        <v>694</v>
      </c>
      <c r="J92" s="117" t="s">
        <v>694</v>
      </c>
      <c r="K92" s="117" t="s">
        <v>694</v>
      </c>
      <c r="M92" s="117" t="s">
        <v>694</v>
      </c>
      <c r="N92" s="117" t="s">
        <v>694</v>
      </c>
      <c r="O92" s="117" t="s">
        <v>694</v>
      </c>
    </row>
    <row r="93" spans="1:15" x14ac:dyDescent="0.25">
      <c r="A93" s="80"/>
      <c r="B93" s="80" t="s">
        <v>646</v>
      </c>
      <c r="C93" s="112">
        <f t="shared" si="1"/>
        <v>91</v>
      </c>
      <c r="D93" s="80" t="s">
        <v>672</v>
      </c>
      <c r="E93" s="80" t="s">
        <v>159</v>
      </c>
      <c r="G93" s="117" t="s">
        <v>694</v>
      </c>
      <c r="H93" s="117" t="s">
        <v>694</v>
      </c>
      <c r="J93" s="117" t="s">
        <v>694</v>
      </c>
      <c r="K93" s="117" t="s">
        <v>694</v>
      </c>
      <c r="M93" s="117" t="s">
        <v>694</v>
      </c>
      <c r="N93" s="117" t="s">
        <v>694</v>
      </c>
      <c r="O93" s="117" t="s">
        <v>694</v>
      </c>
    </row>
    <row r="94" spans="1:15" x14ac:dyDescent="0.25">
      <c r="A94" s="80"/>
      <c r="B94" s="80" t="s">
        <v>646</v>
      </c>
      <c r="C94" s="112">
        <f t="shared" si="1"/>
        <v>92</v>
      </c>
      <c r="D94" s="80" t="s">
        <v>673</v>
      </c>
      <c r="E94" s="102" t="s">
        <v>681</v>
      </c>
      <c r="G94" s="117" t="s">
        <v>694</v>
      </c>
      <c r="H94" s="117" t="s">
        <v>694</v>
      </c>
      <c r="J94" s="117" t="s">
        <v>694</v>
      </c>
      <c r="K94" s="117" t="s">
        <v>694</v>
      </c>
      <c r="M94" s="117" t="s">
        <v>694</v>
      </c>
      <c r="N94" s="117" t="s">
        <v>694</v>
      </c>
      <c r="O94" s="117" t="s">
        <v>694</v>
      </c>
    </row>
    <row r="95" spans="1:15" x14ac:dyDescent="0.25">
      <c r="A95" s="80"/>
      <c r="B95" s="80" t="s">
        <v>646</v>
      </c>
      <c r="C95" s="112">
        <f t="shared" si="1"/>
        <v>93</v>
      </c>
      <c r="D95" s="80" t="s">
        <v>674</v>
      </c>
      <c r="E95" s="80" t="s">
        <v>682</v>
      </c>
      <c r="G95" s="117" t="s">
        <v>694</v>
      </c>
      <c r="H95" s="117" t="s">
        <v>694</v>
      </c>
      <c r="I95" s="117" t="s">
        <v>694</v>
      </c>
      <c r="J95" s="117" t="s">
        <v>694</v>
      </c>
      <c r="K95" s="117" t="s">
        <v>694</v>
      </c>
      <c r="M95" s="117" t="s">
        <v>694</v>
      </c>
      <c r="N95" s="117" t="s">
        <v>694</v>
      </c>
      <c r="O95" s="117" t="s">
        <v>694</v>
      </c>
    </row>
    <row r="96" spans="1:15" x14ac:dyDescent="0.25">
      <c r="A96" s="80"/>
      <c r="B96" s="80" t="s">
        <v>646</v>
      </c>
      <c r="C96" s="112">
        <f t="shared" si="1"/>
        <v>94</v>
      </c>
      <c r="D96" s="80" t="s">
        <v>675</v>
      </c>
      <c r="E96" s="80" t="s">
        <v>682</v>
      </c>
      <c r="G96" s="117" t="s">
        <v>694</v>
      </c>
      <c r="H96" s="117" t="s">
        <v>694</v>
      </c>
      <c r="J96" s="117" t="s">
        <v>694</v>
      </c>
      <c r="K96" s="117" t="s">
        <v>694</v>
      </c>
      <c r="M96" s="117" t="s">
        <v>694</v>
      </c>
      <c r="N96" s="117" t="s">
        <v>694</v>
      </c>
      <c r="O96" s="117" t="s">
        <v>694</v>
      </c>
    </row>
    <row r="97" spans="1:15" x14ac:dyDescent="0.25">
      <c r="A97" s="80"/>
      <c r="B97" s="80" t="s">
        <v>646</v>
      </c>
      <c r="C97" s="112">
        <f t="shared" si="1"/>
        <v>95</v>
      </c>
      <c r="D97" s="80" t="s">
        <v>676</v>
      </c>
      <c r="E97" s="80" t="s">
        <v>682</v>
      </c>
      <c r="G97" s="117" t="s">
        <v>694</v>
      </c>
      <c r="H97" s="117" t="s">
        <v>694</v>
      </c>
      <c r="J97" s="117" t="s">
        <v>694</v>
      </c>
      <c r="K97" s="117" t="s">
        <v>694</v>
      </c>
      <c r="M97" s="117" t="s">
        <v>694</v>
      </c>
      <c r="N97" s="117" t="s">
        <v>694</v>
      </c>
      <c r="O97" s="117" t="s">
        <v>694</v>
      </c>
    </row>
    <row r="98" spans="1:15" x14ac:dyDescent="0.25">
      <c r="B98" s="102" t="s">
        <v>646</v>
      </c>
      <c r="C98" s="112">
        <f t="shared" si="1"/>
        <v>96</v>
      </c>
      <c r="D98" s="80" t="s">
        <v>677</v>
      </c>
      <c r="E98" s="80" t="s">
        <v>682</v>
      </c>
      <c r="G98" s="117" t="s">
        <v>694</v>
      </c>
      <c r="H98" s="117" t="s">
        <v>694</v>
      </c>
      <c r="J98" s="117" t="s">
        <v>694</v>
      </c>
      <c r="K98" s="117" t="s">
        <v>694</v>
      </c>
      <c r="M98" s="117" t="s">
        <v>694</v>
      </c>
      <c r="N98" s="117" t="s">
        <v>694</v>
      </c>
      <c r="O98" s="117" t="s">
        <v>694</v>
      </c>
    </row>
    <row r="99" spans="1:15" x14ac:dyDescent="0.25">
      <c r="B99" s="102" t="s">
        <v>646</v>
      </c>
      <c r="C99" s="112">
        <f t="shared" si="1"/>
        <v>97</v>
      </c>
      <c r="D99" s="80" t="s">
        <v>678</v>
      </c>
      <c r="E99" s="80" t="s">
        <v>682</v>
      </c>
      <c r="G99" s="117" t="s">
        <v>694</v>
      </c>
      <c r="H99" s="117" t="s">
        <v>694</v>
      </c>
      <c r="J99" s="117" t="s">
        <v>694</v>
      </c>
      <c r="K99" s="117" t="s">
        <v>694</v>
      </c>
      <c r="M99" s="117" t="s">
        <v>694</v>
      </c>
      <c r="N99" s="117" t="s">
        <v>694</v>
      </c>
      <c r="O99" s="117" t="s">
        <v>694</v>
      </c>
    </row>
    <row r="100" spans="1:15" x14ac:dyDescent="0.25">
      <c r="B100" s="102" t="s">
        <v>646</v>
      </c>
      <c r="C100" s="112">
        <f t="shared" si="1"/>
        <v>98</v>
      </c>
      <c r="D100" s="80" t="s">
        <v>679</v>
      </c>
      <c r="E100" s="80" t="s">
        <v>682</v>
      </c>
      <c r="G100" s="117" t="s">
        <v>694</v>
      </c>
      <c r="H100" s="117" t="s">
        <v>694</v>
      </c>
      <c r="J100" s="117" t="s">
        <v>694</v>
      </c>
      <c r="K100" s="117" t="s">
        <v>694</v>
      </c>
      <c r="M100" s="117" t="s">
        <v>694</v>
      </c>
      <c r="N100" s="117" t="s">
        <v>694</v>
      </c>
      <c r="O100" s="117" t="s">
        <v>694</v>
      </c>
    </row>
    <row r="101" spans="1:15" x14ac:dyDescent="0.25">
      <c r="B101" s="102" t="s">
        <v>646</v>
      </c>
      <c r="C101" s="112">
        <f>C100+1</f>
        <v>99</v>
      </c>
      <c r="D101" s="81" t="s">
        <v>623</v>
      </c>
      <c r="E101" s="80" t="s">
        <v>648</v>
      </c>
      <c r="F101" s="15"/>
      <c r="G101" s="117" t="s">
        <v>694</v>
      </c>
      <c r="H101" s="117" t="s">
        <v>694</v>
      </c>
      <c r="J101" s="117" t="s">
        <v>694</v>
      </c>
      <c r="K101" s="117" t="s">
        <v>694</v>
      </c>
      <c r="M101" s="117" t="s">
        <v>694</v>
      </c>
      <c r="N101" s="117" t="s">
        <v>694</v>
      </c>
      <c r="O101" s="117" t="s">
        <v>694</v>
      </c>
    </row>
    <row r="102" spans="1:15" x14ac:dyDescent="0.25">
      <c r="B102" s="102" t="s">
        <v>646</v>
      </c>
      <c r="C102" s="112">
        <f>C101+1</f>
        <v>100</v>
      </c>
      <c r="D102" s="81" t="s">
        <v>620</v>
      </c>
      <c r="E102" s="80" t="s">
        <v>648</v>
      </c>
      <c r="F102" s="15" t="s">
        <v>680</v>
      </c>
      <c r="G102" s="117" t="s">
        <v>694</v>
      </c>
      <c r="H102" s="117" t="s">
        <v>694</v>
      </c>
      <c r="J102" s="117" t="s">
        <v>694</v>
      </c>
      <c r="L102" s="117" t="s">
        <v>694</v>
      </c>
      <c r="N102" s="117" t="s">
        <v>694</v>
      </c>
      <c r="O102" s="117" t="s">
        <v>694</v>
      </c>
    </row>
    <row r="103" spans="1:15" x14ac:dyDescent="0.25">
      <c r="B103" s="102" t="s">
        <v>646</v>
      </c>
      <c r="C103" s="112">
        <f>C102+1</f>
        <v>101</v>
      </c>
      <c r="D103" s="80" t="s">
        <v>601</v>
      </c>
      <c r="E103" s="80" t="s">
        <v>648</v>
      </c>
      <c r="F103" s="15" t="s">
        <v>684</v>
      </c>
      <c r="G103" s="117" t="s">
        <v>694</v>
      </c>
      <c r="H103" s="117" t="s">
        <v>694</v>
      </c>
      <c r="J103" s="117" t="s">
        <v>694</v>
      </c>
      <c r="L103" s="117" t="s">
        <v>694</v>
      </c>
      <c r="N103" s="117" t="s">
        <v>694</v>
      </c>
      <c r="O103" s="117" t="s">
        <v>694</v>
      </c>
    </row>
    <row r="104" spans="1:15" x14ac:dyDescent="0.25">
      <c r="B104" s="102" t="s">
        <v>646</v>
      </c>
      <c r="C104" s="112">
        <f t="shared" ref="C104:C123" si="2">C103+1</f>
        <v>102</v>
      </c>
      <c r="D104" s="80" t="s">
        <v>602</v>
      </c>
      <c r="E104" s="80" t="s">
        <v>648</v>
      </c>
      <c r="F104" s="15" t="s">
        <v>684</v>
      </c>
      <c r="G104" s="117" t="s">
        <v>694</v>
      </c>
      <c r="H104" s="117" t="s">
        <v>694</v>
      </c>
      <c r="J104" s="117" t="s">
        <v>694</v>
      </c>
      <c r="L104" s="117" t="s">
        <v>694</v>
      </c>
      <c r="N104" s="117" t="s">
        <v>694</v>
      </c>
      <c r="O104" s="117" t="s">
        <v>694</v>
      </c>
    </row>
    <row r="105" spans="1:15" x14ac:dyDescent="0.25">
      <c r="B105" s="102" t="s">
        <v>646</v>
      </c>
      <c r="C105" s="112">
        <f t="shared" si="2"/>
        <v>103</v>
      </c>
      <c r="D105" s="81" t="s">
        <v>603</v>
      </c>
      <c r="E105" s="80" t="s">
        <v>648</v>
      </c>
      <c r="F105" s="15" t="s">
        <v>684</v>
      </c>
      <c r="G105" s="117" t="s">
        <v>694</v>
      </c>
      <c r="H105" s="117" t="s">
        <v>694</v>
      </c>
      <c r="J105" s="117" t="s">
        <v>694</v>
      </c>
      <c r="L105" s="117" t="s">
        <v>694</v>
      </c>
      <c r="N105" s="117" t="s">
        <v>694</v>
      </c>
      <c r="O105" s="117" t="s">
        <v>694</v>
      </c>
    </row>
    <row r="106" spans="1:15" x14ac:dyDescent="0.25">
      <c r="B106" s="102" t="s">
        <v>646</v>
      </c>
      <c r="C106" s="112">
        <f t="shared" si="2"/>
        <v>104</v>
      </c>
      <c r="D106" s="81" t="s">
        <v>604</v>
      </c>
      <c r="E106" s="80" t="s">
        <v>648</v>
      </c>
      <c r="F106" s="15" t="s">
        <v>684</v>
      </c>
      <c r="G106" s="117" t="s">
        <v>694</v>
      </c>
      <c r="H106" s="117" t="s">
        <v>694</v>
      </c>
      <c r="J106" s="117" t="s">
        <v>694</v>
      </c>
      <c r="L106" s="117" t="s">
        <v>694</v>
      </c>
      <c r="N106" s="117" t="s">
        <v>694</v>
      </c>
      <c r="O106" s="117" t="s">
        <v>694</v>
      </c>
    </row>
    <row r="107" spans="1:15" x14ac:dyDescent="0.25">
      <c r="B107" s="102" t="s">
        <v>646</v>
      </c>
      <c r="C107" s="112">
        <f t="shared" si="2"/>
        <v>105</v>
      </c>
      <c r="D107" s="81" t="s">
        <v>605</v>
      </c>
      <c r="E107" s="80" t="s">
        <v>648</v>
      </c>
      <c r="F107" s="15" t="s">
        <v>684</v>
      </c>
      <c r="G107" s="117" t="s">
        <v>694</v>
      </c>
      <c r="H107" s="117" t="s">
        <v>694</v>
      </c>
      <c r="J107" s="117" t="s">
        <v>694</v>
      </c>
      <c r="L107" s="117" t="s">
        <v>694</v>
      </c>
      <c r="N107" s="117" t="s">
        <v>694</v>
      </c>
      <c r="O107" s="117" t="s">
        <v>694</v>
      </c>
    </row>
    <row r="108" spans="1:15" x14ac:dyDescent="0.25">
      <c r="B108" s="102" t="s">
        <v>646</v>
      </c>
      <c r="C108" s="112">
        <f t="shared" si="2"/>
        <v>106</v>
      </c>
      <c r="D108" s="81" t="s">
        <v>606</v>
      </c>
      <c r="E108" s="80" t="s">
        <v>648</v>
      </c>
      <c r="F108" s="15" t="s">
        <v>684</v>
      </c>
      <c r="G108" s="117" t="s">
        <v>694</v>
      </c>
      <c r="H108" s="117" t="s">
        <v>694</v>
      </c>
      <c r="J108" s="117" t="s">
        <v>694</v>
      </c>
      <c r="L108" s="117" t="s">
        <v>694</v>
      </c>
      <c r="N108" s="117" t="s">
        <v>694</v>
      </c>
      <c r="O108" s="117" t="s">
        <v>694</v>
      </c>
    </row>
    <row r="109" spans="1:15" x14ac:dyDescent="0.25">
      <c r="B109" s="102" t="s">
        <v>646</v>
      </c>
      <c r="C109" s="112">
        <f t="shared" si="2"/>
        <v>107</v>
      </c>
      <c r="D109" s="81" t="s">
        <v>607</v>
      </c>
      <c r="E109" s="80" t="s">
        <v>648</v>
      </c>
      <c r="F109" s="15" t="s">
        <v>684</v>
      </c>
      <c r="G109" s="117" t="s">
        <v>694</v>
      </c>
      <c r="H109" s="117" t="s">
        <v>694</v>
      </c>
      <c r="J109" s="117" t="s">
        <v>694</v>
      </c>
      <c r="L109" s="117" t="s">
        <v>694</v>
      </c>
      <c r="N109" s="117" t="s">
        <v>694</v>
      </c>
      <c r="O109" s="117" t="s">
        <v>694</v>
      </c>
    </row>
    <row r="110" spans="1:15" x14ac:dyDescent="0.25">
      <c r="B110" s="102" t="s">
        <v>646</v>
      </c>
      <c r="C110" s="112">
        <f t="shared" si="2"/>
        <v>108</v>
      </c>
      <c r="D110" s="81" t="s">
        <v>608</v>
      </c>
      <c r="E110" s="80" t="s">
        <v>648</v>
      </c>
      <c r="F110" s="15" t="s">
        <v>684</v>
      </c>
      <c r="G110" s="117" t="s">
        <v>694</v>
      </c>
      <c r="H110" s="117" t="s">
        <v>694</v>
      </c>
      <c r="J110" s="117" t="s">
        <v>694</v>
      </c>
      <c r="L110" s="117" t="s">
        <v>694</v>
      </c>
      <c r="N110" s="117" t="s">
        <v>694</v>
      </c>
      <c r="O110" s="117" t="s">
        <v>694</v>
      </c>
    </row>
    <row r="111" spans="1:15" x14ac:dyDescent="0.25">
      <c r="B111" s="102" t="s">
        <v>646</v>
      </c>
      <c r="C111" s="112">
        <f t="shared" si="2"/>
        <v>109</v>
      </c>
      <c r="D111" s="81" t="s">
        <v>609</v>
      </c>
      <c r="E111" s="80" t="s">
        <v>648</v>
      </c>
      <c r="F111" s="15" t="s">
        <v>684</v>
      </c>
      <c r="G111" s="117" t="s">
        <v>694</v>
      </c>
      <c r="H111" s="117" t="s">
        <v>694</v>
      </c>
      <c r="J111" s="117" t="s">
        <v>694</v>
      </c>
      <c r="L111" s="117" t="s">
        <v>694</v>
      </c>
      <c r="N111" s="117" t="s">
        <v>694</v>
      </c>
      <c r="O111" s="117" t="s">
        <v>694</v>
      </c>
    </row>
    <row r="112" spans="1:15" x14ac:dyDescent="0.25">
      <c r="B112" s="102" t="s">
        <v>646</v>
      </c>
      <c r="C112" s="112">
        <f t="shared" si="2"/>
        <v>110</v>
      </c>
      <c r="D112" s="82" t="s">
        <v>610</v>
      </c>
      <c r="E112" s="80" t="s">
        <v>648</v>
      </c>
      <c r="F112" s="15" t="s">
        <v>684</v>
      </c>
      <c r="G112" s="117" t="s">
        <v>694</v>
      </c>
      <c r="H112" s="117" t="s">
        <v>694</v>
      </c>
      <c r="J112" s="117" t="s">
        <v>694</v>
      </c>
      <c r="L112" s="117" t="s">
        <v>694</v>
      </c>
      <c r="N112" s="117" t="s">
        <v>694</v>
      </c>
      <c r="O112" s="117" t="s">
        <v>694</v>
      </c>
    </row>
    <row r="113" spans="2:15" x14ac:dyDescent="0.25">
      <c r="B113" s="102" t="s">
        <v>646</v>
      </c>
      <c r="C113" s="112">
        <f t="shared" si="2"/>
        <v>111</v>
      </c>
      <c r="D113" s="81" t="s">
        <v>611</v>
      </c>
      <c r="E113" s="80" t="s">
        <v>648</v>
      </c>
      <c r="F113" s="15" t="s">
        <v>684</v>
      </c>
      <c r="G113" s="117" t="s">
        <v>694</v>
      </c>
      <c r="H113" s="117" t="s">
        <v>694</v>
      </c>
      <c r="J113" s="117" t="s">
        <v>694</v>
      </c>
      <c r="L113" s="117" t="s">
        <v>694</v>
      </c>
      <c r="N113" s="117" t="s">
        <v>694</v>
      </c>
      <c r="O113" s="117" t="s">
        <v>694</v>
      </c>
    </row>
    <row r="114" spans="2:15" x14ac:dyDescent="0.25">
      <c r="B114" s="102" t="s">
        <v>646</v>
      </c>
      <c r="C114" s="112">
        <f t="shared" si="2"/>
        <v>112</v>
      </c>
      <c r="D114" s="81" t="s">
        <v>612</v>
      </c>
      <c r="E114" s="80" t="s">
        <v>648</v>
      </c>
      <c r="F114" s="15" t="s">
        <v>684</v>
      </c>
      <c r="G114" s="117" t="s">
        <v>694</v>
      </c>
      <c r="H114" s="117" t="s">
        <v>694</v>
      </c>
      <c r="J114" s="117" t="s">
        <v>694</v>
      </c>
      <c r="L114" s="117" t="s">
        <v>694</v>
      </c>
      <c r="N114" s="117" t="s">
        <v>694</v>
      </c>
      <c r="O114" s="117" t="s">
        <v>694</v>
      </c>
    </row>
    <row r="115" spans="2:15" x14ac:dyDescent="0.25">
      <c r="B115" s="102" t="s">
        <v>646</v>
      </c>
      <c r="C115" s="112">
        <f t="shared" si="2"/>
        <v>113</v>
      </c>
      <c r="D115" s="81" t="s">
        <v>613</v>
      </c>
      <c r="E115" s="80" t="s">
        <v>648</v>
      </c>
      <c r="F115" s="15" t="s">
        <v>684</v>
      </c>
      <c r="G115" s="117" t="s">
        <v>694</v>
      </c>
      <c r="H115" s="117" t="s">
        <v>694</v>
      </c>
      <c r="J115" s="117" t="s">
        <v>694</v>
      </c>
      <c r="L115" s="117" t="s">
        <v>694</v>
      </c>
      <c r="N115" s="117" t="s">
        <v>694</v>
      </c>
      <c r="O115" s="117" t="s">
        <v>694</v>
      </c>
    </row>
    <row r="116" spans="2:15" x14ac:dyDescent="0.25">
      <c r="B116" s="102" t="s">
        <v>646</v>
      </c>
      <c r="C116" s="112">
        <f t="shared" si="2"/>
        <v>114</v>
      </c>
      <c r="D116" s="81" t="s">
        <v>614</v>
      </c>
      <c r="E116" s="80" t="s">
        <v>648</v>
      </c>
      <c r="F116" s="15" t="s">
        <v>684</v>
      </c>
      <c r="G116" s="117" t="s">
        <v>694</v>
      </c>
      <c r="H116" s="117" t="s">
        <v>694</v>
      </c>
      <c r="J116" s="117" t="s">
        <v>694</v>
      </c>
      <c r="L116" s="117" t="s">
        <v>694</v>
      </c>
      <c r="N116" s="117" t="s">
        <v>694</v>
      </c>
      <c r="O116" s="117" t="s">
        <v>694</v>
      </c>
    </row>
    <row r="117" spans="2:15" x14ac:dyDescent="0.25">
      <c r="B117" s="102" t="s">
        <v>646</v>
      </c>
      <c r="C117" s="112">
        <f t="shared" si="2"/>
        <v>115</v>
      </c>
      <c r="D117" s="82" t="s">
        <v>615</v>
      </c>
      <c r="E117" s="80" t="s">
        <v>648</v>
      </c>
      <c r="F117" s="15" t="s">
        <v>684</v>
      </c>
      <c r="G117" s="117" t="s">
        <v>694</v>
      </c>
      <c r="H117" s="117" t="s">
        <v>694</v>
      </c>
      <c r="J117" s="117" t="s">
        <v>694</v>
      </c>
      <c r="L117" s="117" t="s">
        <v>694</v>
      </c>
      <c r="N117" s="117" t="s">
        <v>694</v>
      </c>
      <c r="O117" s="117" t="s">
        <v>694</v>
      </c>
    </row>
    <row r="118" spans="2:15" x14ac:dyDescent="0.25">
      <c r="B118" s="102" t="s">
        <v>646</v>
      </c>
      <c r="C118" s="112">
        <f t="shared" si="2"/>
        <v>116</v>
      </c>
      <c r="D118" s="81" t="s">
        <v>616</v>
      </c>
      <c r="E118" s="80" t="s">
        <v>648</v>
      </c>
      <c r="F118" s="15" t="s">
        <v>684</v>
      </c>
      <c r="G118" s="117" t="s">
        <v>694</v>
      </c>
      <c r="H118" s="117" t="s">
        <v>694</v>
      </c>
      <c r="J118" s="117" t="s">
        <v>694</v>
      </c>
      <c r="L118" s="117" t="s">
        <v>694</v>
      </c>
      <c r="N118" s="117" t="s">
        <v>694</v>
      </c>
      <c r="O118" s="117" t="s">
        <v>694</v>
      </c>
    </row>
    <row r="119" spans="2:15" x14ac:dyDescent="0.25">
      <c r="B119" s="102" t="s">
        <v>646</v>
      </c>
      <c r="C119" s="112">
        <f t="shared" si="2"/>
        <v>117</v>
      </c>
      <c r="D119" s="81" t="s">
        <v>617</v>
      </c>
      <c r="E119" s="80" t="s">
        <v>648</v>
      </c>
      <c r="F119" s="15" t="s">
        <v>684</v>
      </c>
      <c r="G119" s="117" t="s">
        <v>694</v>
      </c>
      <c r="H119" s="117" t="s">
        <v>694</v>
      </c>
      <c r="J119" s="117" t="s">
        <v>694</v>
      </c>
      <c r="L119" s="117" t="s">
        <v>694</v>
      </c>
      <c r="N119" s="117" t="s">
        <v>694</v>
      </c>
      <c r="O119" s="117" t="s">
        <v>694</v>
      </c>
    </row>
    <row r="120" spans="2:15" x14ac:dyDescent="0.25">
      <c r="B120" s="102" t="s">
        <v>646</v>
      </c>
      <c r="C120" s="112">
        <f t="shared" si="2"/>
        <v>118</v>
      </c>
      <c r="D120" s="81" t="s">
        <v>618</v>
      </c>
      <c r="E120" s="80" t="s">
        <v>648</v>
      </c>
      <c r="F120" s="15" t="s">
        <v>684</v>
      </c>
      <c r="G120" s="117" t="s">
        <v>694</v>
      </c>
      <c r="H120" s="117" t="s">
        <v>694</v>
      </c>
      <c r="J120" s="117" t="s">
        <v>694</v>
      </c>
      <c r="L120" s="117" t="s">
        <v>694</v>
      </c>
      <c r="N120" s="117" t="s">
        <v>694</v>
      </c>
      <c r="O120" s="117" t="s">
        <v>694</v>
      </c>
    </row>
    <row r="121" spans="2:15" x14ac:dyDescent="0.25">
      <c r="B121" s="102" t="s">
        <v>646</v>
      </c>
      <c r="C121" s="112">
        <f t="shared" si="2"/>
        <v>119</v>
      </c>
      <c r="D121" s="81" t="s">
        <v>619</v>
      </c>
      <c r="E121" s="80" t="s">
        <v>648</v>
      </c>
      <c r="F121" s="15" t="s">
        <v>684</v>
      </c>
      <c r="G121" s="117" t="s">
        <v>694</v>
      </c>
      <c r="H121" s="117" t="s">
        <v>694</v>
      </c>
      <c r="J121" s="117" t="s">
        <v>694</v>
      </c>
      <c r="L121" s="117" t="s">
        <v>694</v>
      </c>
      <c r="N121" s="117" t="s">
        <v>694</v>
      </c>
      <c r="O121" s="117" t="s">
        <v>694</v>
      </c>
    </row>
    <row r="122" spans="2:15" x14ac:dyDescent="0.25">
      <c r="B122" s="102" t="s">
        <v>646</v>
      </c>
      <c r="C122" s="112">
        <f t="shared" si="2"/>
        <v>120</v>
      </c>
      <c r="D122" s="81" t="s">
        <v>621</v>
      </c>
      <c r="E122" s="80" t="s">
        <v>648</v>
      </c>
      <c r="F122" s="15" t="s">
        <v>684</v>
      </c>
      <c r="G122" s="117" t="s">
        <v>694</v>
      </c>
      <c r="H122" s="117" t="s">
        <v>694</v>
      </c>
      <c r="J122" s="117" t="s">
        <v>694</v>
      </c>
      <c r="L122" s="117" t="s">
        <v>694</v>
      </c>
      <c r="N122" s="117" t="s">
        <v>694</v>
      </c>
      <c r="O122" s="117" t="s">
        <v>694</v>
      </c>
    </row>
    <row r="123" spans="2:15" x14ac:dyDescent="0.25">
      <c r="B123" s="102" t="s">
        <v>646</v>
      </c>
      <c r="C123" s="112">
        <f t="shared" si="2"/>
        <v>121</v>
      </c>
      <c r="D123" s="81" t="s">
        <v>622</v>
      </c>
      <c r="E123" s="80" t="s">
        <v>648</v>
      </c>
      <c r="F123" s="15" t="s">
        <v>684</v>
      </c>
      <c r="G123" s="117" t="s">
        <v>694</v>
      </c>
      <c r="H123" s="117" t="s">
        <v>694</v>
      </c>
      <c r="J123" s="117" t="s">
        <v>694</v>
      </c>
      <c r="L123" s="117" t="s">
        <v>694</v>
      </c>
      <c r="N123" s="117" t="s">
        <v>694</v>
      </c>
      <c r="O123" s="117" t="s">
        <v>694</v>
      </c>
    </row>
    <row r="124" spans="2:15" x14ac:dyDescent="0.25">
      <c r="C124" s="112"/>
      <c r="D124" s="80"/>
      <c r="E124" s="80"/>
    </row>
  </sheetData>
  <mergeCells count="1">
    <mergeCell ref="G1:O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B2" sqref="B2"/>
    </sheetView>
  </sheetViews>
  <sheetFormatPr defaultRowHeight="15" x14ac:dyDescent="0.25"/>
  <cols>
    <col min="1" max="1" width="18.85546875" customWidth="1"/>
    <col min="2" max="2" width="8.5703125" style="24" customWidth="1"/>
    <col min="3" max="3" width="56" customWidth="1"/>
    <col min="4" max="4" width="25.5703125" bestFit="1" customWidth="1"/>
  </cols>
  <sheetData>
    <row r="1" spans="1:11" ht="30" x14ac:dyDescent="0.25">
      <c r="A1" s="37">
        <v>2015</v>
      </c>
      <c r="B1" s="75" t="s">
        <v>707</v>
      </c>
      <c r="C1" s="121" t="s">
        <v>708</v>
      </c>
    </row>
    <row r="2" spans="1:11" ht="30" x14ac:dyDescent="0.25">
      <c r="A2" s="120" t="s">
        <v>152</v>
      </c>
      <c r="B2" s="75" t="s">
        <v>709</v>
      </c>
      <c r="C2" s="122" t="s">
        <v>710</v>
      </c>
      <c r="D2" t="s">
        <v>162</v>
      </c>
      <c r="E2" s="125"/>
      <c r="F2" s="125"/>
      <c r="G2" s="125"/>
      <c r="H2" s="125"/>
      <c r="I2" s="125"/>
      <c r="J2" s="125"/>
      <c r="K2" s="125"/>
    </row>
    <row r="3" spans="1:11" ht="45" x14ac:dyDescent="0.25">
      <c r="A3" s="120" t="s">
        <v>155</v>
      </c>
      <c r="B3" s="75" t="s">
        <v>709</v>
      </c>
      <c r="C3" s="122" t="s">
        <v>712</v>
      </c>
    </row>
    <row r="4" spans="1:11" ht="45" x14ac:dyDescent="0.25">
      <c r="A4" s="31" t="s">
        <v>218</v>
      </c>
      <c r="B4" s="24" t="s">
        <v>709</v>
      </c>
      <c r="C4" s="122" t="s">
        <v>713</v>
      </c>
      <c r="D4" t="s">
        <v>221</v>
      </c>
    </row>
    <row r="5" spans="1:11" ht="45" x14ac:dyDescent="0.25">
      <c r="A5" s="31" t="s">
        <v>234</v>
      </c>
      <c r="B5" s="24" t="s">
        <v>709</v>
      </c>
      <c r="C5" s="122" t="s">
        <v>713</v>
      </c>
      <c r="D5" t="s">
        <v>236</v>
      </c>
      <c r="E5" s="126"/>
      <c r="F5" s="126"/>
      <c r="G5" s="126"/>
      <c r="H5" s="126"/>
      <c r="I5" s="126"/>
      <c r="J5" s="126"/>
    </row>
    <row r="6" spans="1:11" ht="30" x14ac:dyDescent="0.25">
      <c r="A6" s="31" t="s">
        <v>164</v>
      </c>
      <c r="B6" s="24" t="s">
        <v>711</v>
      </c>
      <c r="C6" s="123" t="s">
        <v>715</v>
      </c>
      <c r="D6" s="123"/>
      <c r="E6" s="123"/>
      <c r="F6" s="123"/>
      <c r="G6" s="123"/>
      <c r="H6" s="123"/>
      <c r="I6" s="123"/>
      <c r="J6" s="123"/>
    </row>
    <row r="7" spans="1:11" x14ac:dyDescent="0.25">
      <c r="A7" s="87" t="s">
        <v>628</v>
      </c>
      <c r="B7" s="124" t="s">
        <v>709</v>
      </c>
    </row>
    <row r="8" spans="1:11" x14ac:dyDescent="0.25">
      <c r="A8" s="87" t="s">
        <v>627</v>
      </c>
      <c r="B8" s="124" t="s">
        <v>709</v>
      </c>
    </row>
    <row r="9" spans="1:11" x14ac:dyDescent="0.25">
      <c r="A9" s="87" t="s">
        <v>630</v>
      </c>
      <c r="B9" s="124" t="s">
        <v>709</v>
      </c>
    </row>
    <row r="10" spans="1:11" x14ac:dyDescent="0.25">
      <c r="A10" s="87" t="s">
        <v>716</v>
      </c>
      <c r="B10" s="124" t="s">
        <v>709</v>
      </c>
    </row>
    <row r="11" spans="1:11" x14ac:dyDescent="0.25">
      <c r="A11" s="130" t="s">
        <v>632</v>
      </c>
      <c r="B11" s="131" t="s">
        <v>709</v>
      </c>
      <c r="C11" s="132" t="s">
        <v>714</v>
      </c>
    </row>
    <row r="12" spans="1:11" x14ac:dyDescent="0.25">
      <c r="A12" s="128" t="s">
        <v>626</v>
      </c>
      <c r="B12" s="129" t="s">
        <v>711</v>
      </c>
      <c r="C12" s="127"/>
    </row>
  </sheetData>
  <conditionalFormatting sqref="A1:B1">
    <cfRule type="expression" dxfId="55" priority="56">
      <formula>"P7 (2016)"</formula>
    </cfRule>
  </conditionalFormatting>
  <conditionalFormatting sqref="A1:B1">
    <cfRule type="containsText" dxfId="54" priority="49" operator="containsText" text="P7 (2016)">
      <formula>NOT(ISERROR(SEARCH("P7 (2016)",A1)))</formula>
    </cfRule>
    <cfRule type="containsText" dxfId="53" priority="50" operator="containsText" text="NP">
      <formula>NOT(ISERROR(SEARCH("NP",A1)))</formula>
    </cfRule>
    <cfRule type="containsText" dxfId="52" priority="51" operator="containsText" text="P7 (2015/ON HILL)">
      <formula>NOT(ISERROR(SEARCH("P7 (2015/ON HILL)",A1)))</formula>
    </cfRule>
    <cfRule type="containsText" dxfId="51" priority="52" operator="containsText" text="M (2015/NURSERY)">
      <formula>NOT(ISERROR(SEARCH("M (2015/NURSERY)",A1)))</formula>
    </cfRule>
    <cfRule type="containsText" dxfId="50" priority="53" operator="containsText" text="M (2016/PLOT3)">
      <formula>NOT(ISERROR(SEARCH("M (2016/PLOT3)",A1)))</formula>
    </cfRule>
    <cfRule type="containsText" dxfId="49" priority="54" operator="containsText" text="M (2017)">
      <formula>NOT(ISERROR(SEARCH("M (2017)",A1)))</formula>
    </cfRule>
    <cfRule type="containsText" dxfId="48" priority="55" operator="containsText" text="P1 (2017)">
      <formula>NOT(ISERROR(SEARCH("P1 (2017)",A1)))</formula>
    </cfRule>
  </conditionalFormatting>
  <conditionalFormatting sqref="A2:B2">
    <cfRule type="expression" dxfId="47" priority="48">
      <formula>"P7 (2016)"</formula>
    </cfRule>
  </conditionalFormatting>
  <conditionalFormatting sqref="A2:B2">
    <cfRule type="containsText" dxfId="46" priority="41" operator="containsText" text="P7 (2016)">
      <formula>NOT(ISERROR(SEARCH("P7 (2016)",A2)))</formula>
    </cfRule>
    <cfRule type="containsText" dxfId="45" priority="42" operator="containsText" text="NP">
      <formula>NOT(ISERROR(SEARCH("NP",A2)))</formula>
    </cfRule>
    <cfRule type="containsText" dxfId="44" priority="43" operator="containsText" text="P7 (2015/ON HILL)">
      <formula>NOT(ISERROR(SEARCH("P7 (2015/ON HILL)",A2)))</formula>
    </cfRule>
    <cfRule type="containsText" dxfId="43" priority="44" operator="containsText" text="M (2015/NURSERY)">
      <formula>NOT(ISERROR(SEARCH("M (2015/NURSERY)",A2)))</formula>
    </cfRule>
    <cfRule type="containsText" dxfId="42" priority="45" operator="containsText" text="M (2016/PLOT3)">
      <formula>NOT(ISERROR(SEARCH("M (2016/PLOT3)",A2)))</formula>
    </cfRule>
    <cfRule type="containsText" dxfId="41" priority="46" operator="containsText" text="M (2017)">
      <formula>NOT(ISERROR(SEARCH("M (2017)",A2)))</formula>
    </cfRule>
    <cfRule type="containsText" dxfId="40" priority="47" operator="containsText" text="P1 (2017)">
      <formula>NOT(ISERROR(SEARCH("P1 (2017)",A2)))</formula>
    </cfRule>
  </conditionalFormatting>
  <conditionalFormatting sqref="A3:B3">
    <cfRule type="expression" dxfId="39" priority="40">
      <formula>"P7 (2016)"</formula>
    </cfRule>
  </conditionalFormatting>
  <conditionalFormatting sqref="A3:B3">
    <cfRule type="containsText" dxfId="38" priority="33" operator="containsText" text="P7 (2016)">
      <formula>NOT(ISERROR(SEARCH("P7 (2016)",A3)))</formula>
    </cfRule>
    <cfRule type="containsText" dxfId="37" priority="34" operator="containsText" text="NP">
      <formula>NOT(ISERROR(SEARCH("NP",A3)))</formula>
    </cfRule>
    <cfRule type="containsText" dxfId="36" priority="35" operator="containsText" text="P7 (2015/ON HILL)">
      <formula>NOT(ISERROR(SEARCH("P7 (2015/ON HILL)",A3)))</formula>
    </cfRule>
    <cfRule type="containsText" dxfId="35" priority="36" operator="containsText" text="M (2015/NURSERY)">
      <formula>NOT(ISERROR(SEARCH("M (2015/NURSERY)",A3)))</formula>
    </cfRule>
    <cfRule type="containsText" dxfId="34" priority="37" operator="containsText" text="M (2016/PLOT3)">
      <formula>NOT(ISERROR(SEARCH("M (2016/PLOT3)",A3)))</formula>
    </cfRule>
    <cfRule type="containsText" dxfId="33" priority="38" operator="containsText" text="M (2017)">
      <formula>NOT(ISERROR(SEARCH("M (2017)",A3)))</formula>
    </cfRule>
    <cfRule type="containsText" dxfId="32" priority="39" operator="containsText" text="P1 (2017)">
      <formula>NOT(ISERROR(SEARCH("P1 (2017)",A3)))</formula>
    </cfRule>
  </conditionalFormatting>
  <conditionalFormatting sqref="A4:B4">
    <cfRule type="expression" dxfId="31" priority="32">
      <formula>"P7 (2016)"</formula>
    </cfRule>
  </conditionalFormatting>
  <conditionalFormatting sqref="A4:B4">
    <cfRule type="containsText" dxfId="30" priority="25" operator="containsText" text="P7 (2016)">
      <formula>NOT(ISERROR(SEARCH("P7 (2016)",A4)))</formula>
    </cfRule>
    <cfRule type="containsText" dxfId="29" priority="26" operator="containsText" text="NP">
      <formula>NOT(ISERROR(SEARCH("NP",A4)))</formula>
    </cfRule>
    <cfRule type="containsText" dxfId="28" priority="27" operator="containsText" text="P7 (2015/ON HILL)">
      <formula>NOT(ISERROR(SEARCH("P7 (2015/ON HILL)",A4)))</formula>
    </cfRule>
    <cfRule type="containsText" dxfId="27" priority="28" operator="containsText" text="M (2015/NURSERY)">
      <formula>NOT(ISERROR(SEARCH("M (2015/NURSERY)",A4)))</formula>
    </cfRule>
    <cfRule type="containsText" dxfId="26" priority="29" operator="containsText" text="M (2016/PLOT3)">
      <formula>NOT(ISERROR(SEARCH("M (2016/PLOT3)",A4)))</formula>
    </cfRule>
    <cfRule type="containsText" dxfId="25" priority="30" operator="containsText" text="M (2017)">
      <formula>NOT(ISERROR(SEARCH("M (2017)",A4)))</formula>
    </cfRule>
    <cfRule type="containsText" dxfId="24" priority="31" operator="containsText" text="P1 (2017)">
      <formula>NOT(ISERROR(SEARCH("P1 (2017)",A4)))</formula>
    </cfRule>
  </conditionalFormatting>
  <conditionalFormatting sqref="A5:B5">
    <cfRule type="expression" dxfId="23" priority="24">
      <formula>"P7 (2016)"</formula>
    </cfRule>
  </conditionalFormatting>
  <conditionalFormatting sqref="A5:B5">
    <cfRule type="containsText" dxfId="22" priority="17" operator="containsText" text="P7 (2016)">
      <formula>NOT(ISERROR(SEARCH("P7 (2016)",A5)))</formula>
    </cfRule>
    <cfRule type="containsText" dxfId="21" priority="18" operator="containsText" text="NP">
      <formula>NOT(ISERROR(SEARCH("NP",A5)))</formula>
    </cfRule>
    <cfRule type="containsText" dxfId="20" priority="19" operator="containsText" text="P7 (2015/ON HILL)">
      <formula>NOT(ISERROR(SEARCH("P7 (2015/ON HILL)",A5)))</formula>
    </cfRule>
    <cfRule type="containsText" dxfId="19" priority="20" operator="containsText" text="M (2015/NURSERY)">
      <formula>NOT(ISERROR(SEARCH("M (2015/NURSERY)",A5)))</formula>
    </cfRule>
    <cfRule type="containsText" dxfId="18" priority="21" operator="containsText" text="M (2016/PLOT3)">
      <formula>NOT(ISERROR(SEARCH("M (2016/PLOT3)",A5)))</formula>
    </cfRule>
    <cfRule type="containsText" dxfId="17" priority="22" operator="containsText" text="M (2017)">
      <formula>NOT(ISERROR(SEARCH("M (2017)",A5)))</formula>
    </cfRule>
    <cfRule type="containsText" dxfId="16" priority="23" operator="containsText" text="P1 (2017)">
      <formula>NOT(ISERROR(SEARCH("P1 (2017)",A5)))</formula>
    </cfRule>
  </conditionalFormatting>
  <conditionalFormatting sqref="A6:B7">
    <cfRule type="expression" dxfId="15" priority="16">
      <formula>"P7 (2016)"</formula>
    </cfRule>
  </conditionalFormatting>
  <conditionalFormatting sqref="A6:B7">
    <cfRule type="containsText" dxfId="14" priority="9" operator="containsText" text="P7 (2016)">
      <formula>NOT(ISERROR(SEARCH("P7 (2016)",A6)))</formula>
    </cfRule>
    <cfRule type="containsText" dxfId="13" priority="10" operator="containsText" text="NP">
      <formula>NOT(ISERROR(SEARCH("NP",A6)))</formula>
    </cfRule>
    <cfRule type="containsText" dxfId="12" priority="11" operator="containsText" text="P7 (2015/ON HILL)">
      <formula>NOT(ISERROR(SEARCH("P7 (2015/ON HILL)",A6)))</formula>
    </cfRule>
    <cfRule type="containsText" dxfId="11" priority="12" operator="containsText" text="M (2015/NURSERY)">
      <formula>NOT(ISERROR(SEARCH("M (2015/NURSERY)",A6)))</formula>
    </cfRule>
    <cfRule type="containsText" dxfId="10" priority="13" operator="containsText" text="M (2016/PLOT3)">
      <formula>NOT(ISERROR(SEARCH("M (2016/PLOT3)",A6)))</formula>
    </cfRule>
    <cfRule type="containsText" dxfId="9" priority="14" operator="containsText" text="M (2017)">
      <formula>NOT(ISERROR(SEARCH("M (2017)",A6)))</formula>
    </cfRule>
    <cfRule type="containsText" dxfId="8" priority="15" operator="containsText" text="P1 (2017)">
      <formula>NOT(ISERROR(SEARCH("P1 (2017)",A6)))</formula>
    </cfRule>
  </conditionalFormatting>
  <conditionalFormatting sqref="A6:B7">
    <cfRule type="expression" dxfId="7" priority="8">
      <formula>"P7 (2016)"</formula>
    </cfRule>
  </conditionalFormatting>
  <conditionalFormatting sqref="A6:B7">
    <cfRule type="containsText" dxfId="6" priority="1" operator="containsText" text="P7 (2016)">
      <formula>NOT(ISERROR(SEARCH("P7 (2016)",A6)))</formula>
    </cfRule>
    <cfRule type="containsText" dxfId="5" priority="2" operator="containsText" text="NP">
      <formula>NOT(ISERROR(SEARCH("NP",A6)))</formula>
    </cfRule>
    <cfRule type="containsText" dxfId="4" priority="3" operator="containsText" text="P7 (2015/ON HILL)">
      <formula>NOT(ISERROR(SEARCH("P7 (2015/ON HILL)",A6)))</formula>
    </cfRule>
    <cfRule type="containsText" dxfId="3" priority="4" operator="containsText" text="M (2015/NURSERY)">
      <formula>NOT(ISERROR(SEARCH("M (2015/NURSERY)",A6)))</formula>
    </cfRule>
    <cfRule type="containsText" dxfId="2" priority="5" operator="containsText" text="M (2016/PLOT3)">
      <formula>NOT(ISERROR(SEARCH("M (2016/PLOT3)",A6)))</formula>
    </cfRule>
    <cfRule type="containsText" dxfId="1" priority="6" operator="containsText" text="M (2017)">
      <formula>NOT(ISERROR(SEARCH("M (2017)",A6)))</formula>
    </cfRule>
    <cfRule type="containsText" dxfId="0" priority="7" operator="containsText" text="P1 (2017)">
      <formula>NOT(ISERROR(SEARCH("P1 (2017)",A6)))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Acc_Razlin's PhD</vt:lpstr>
      <vt:lpstr>Copy_Seed SummarySheet_jul2018</vt:lpstr>
      <vt:lpstr>Full set_RazlinPhD</vt:lpstr>
      <vt:lpstr>List of plots-intro</vt:lpstr>
    </vt:vector>
  </TitlesOfParts>
  <Company>Southern Cross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Razlin Azman</dc:creator>
  <cp:lastModifiedBy>Razlin Azman </cp:lastModifiedBy>
  <dcterms:created xsi:type="dcterms:W3CDTF">2019-11-18T07:00:42Z</dcterms:created>
  <dcterms:modified xsi:type="dcterms:W3CDTF">2020-05-23T11:14:36Z</dcterms:modified>
</cp:coreProperties>
</file>